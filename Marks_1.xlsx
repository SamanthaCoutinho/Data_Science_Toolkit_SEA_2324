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man\OneDrive\Desktop\2324_Data_Science_Toolkit_SEA\"/>
    </mc:Choice>
  </mc:AlternateContent>
  <xr:revisionPtr revIDLastSave="0" documentId="8_{9D4A2D65-6FC5-4F08-A959-8E0F08EC9F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F31" i="1"/>
  <c r="I31" i="1" s="1"/>
  <c r="E31" i="1"/>
  <c r="G31" i="1" s="1"/>
  <c r="D31" i="1"/>
  <c r="F30" i="1"/>
  <c r="I30" i="1" s="1"/>
  <c r="E30" i="1"/>
  <c r="H30" i="1" s="1"/>
  <c r="J30" i="1" s="1"/>
  <c r="D30" i="1"/>
  <c r="F29" i="1"/>
  <c r="I29" i="1" s="1"/>
  <c r="E29" i="1"/>
  <c r="H29" i="1" s="1"/>
  <c r="J29" i="1" s="1"/>
  <c r="D29" i="1"/>
  <c r="I28" i="1"/>
  <c r="H28" i="1"/>
  <c r="J28" i="1" s="1"/>
  <c r="G28" i="1"/>
  <c r="F28" i="1"/>
  <c r="E28" i="1"/>
  <c r="D28" i="1"/>
  <c r="I27" i="1"/>
  <c r="G27" i="1"/>
  <c r="F27" i="1"/>
  <c r="E27" i="1"/>
  <c r="H27" i="1" s="1"/>
  <c r="J27" i="1" s="1"/>
  <c r="D27" i="1"/>
  <c r="I26" i="1"/>
  <c r="F26" i="1"/>
  <c r="E26" i="1"/>
  <c r="H26" i="1" s="1"/>
  <c r="J26" i="1" s="1"/>
  <c r="D26" i="1"/>
  <c r="F25" i="1"/>
  <c r="I25" i="1" s="1"/>
  <c r="E25" i="1"/>
  <c r="H25" i="1" s="1"/>
  <c r="J25" i="1" s="1"/>
  <c r="D25" i="1"/>
  <c r="F24" i="1"/>
  <c r="I24" i="1" s="1"/>
  <c r="E24" i="1"/>
  <c r="H24" i="1" s="1"/>
  <c r="J24" i="1" s="1"/>
  <c r="D24" i="1"/>
  <c r="F23" i="1"/>
  <c r="I23" i="1" s="1"/>
  <c r="E23" i="1"/>
  <c r="G23" i="1" s="1"/>
  <c r="D23" i="1"/>
  <c r="I22" i="1"/>
  <c r="G22" i="1"/>
  <c r="F22" i="1"/>
  <c r="E22" i="1"/>
  <c r="H22" i="1" s="1"/>
  <c r="J22" i="1" s="1"/>
  <c r="D22" i="1"/>
  <c r="H21" i="1"/>
  <c r="F21" i="1"/>
  <c r="G21" i="1" s="1"/>
  <c r="E21" i="1"/>
  <c r="D21" i="1"/>
  <c r="F20" i="1"/>
  <c r="I20" i="1" s="1"/>
  <c r="E20" i="1"/>
  <c r="H20" i="1" s="1"/>
  <c r="J20" i="1" s="1"/>
  <c r="D20" i="1"/>
  <c r="I19" i="1"/>
  <c r="H19" i="1"/>
  <c r="J19" i="1" s="1"/>
  <c r="F19" i="1"/>
  <c r="G19" i="1" s="1"/>
  <c r="E19" i="1"/>
  <c r="D19" i="1"/>
  <c r="F18" i="1"/>
  <c r="I18" i="1" s="1"/>
  <c r="E18" i="1"/>
  <c r="H18" i="1" s="1"/>
  <c r="J18" i="1" s="1"/>
  <c r="D18" i="1"/>
  <c r="F17" i="1"/>
  <c r="I17" i="1" s="1"/>
  <c r="E17" i="1"/>
  <c r="H17" i="1" s="1"/>
  <c r="J17" i="1" s="1"/>
  <c r="D17" i="1"/>
  <c r="F16" i="1"/>
  <c r="I16" i="1" s="1"/>
  <c r="E16" i="1"/>
  <c r="G16" i="1" s="1"/>
  <c r="D16" i="1"/>
  <c r="H15" i="1"/>
  <c r="F15" i="1"/>
  <c r="I15" i="1" s="1"/>
  <c r="E15" i="1"/>
  <c r="D15" i="1"/>
  <c r="F14" i="1"/>
  <c r="I14" i="1" s="1"/>
  <c r="E14" i="1"/>
  <c r="G14" i="1" s="1"/>
  <c r="D14" i="1"/>
  <c r="F13" i="1"/>
  <c r="I13" i="1" s="1"/>
  <c r="E13" i="1"/>
  <c r="H13" i="1" s="1"/>
  <c r="J13" i="1" s="1"/>
  <c r="D13" i="1"/>
  <c r="I12" i="1"/>
  <c r="H12" i="1"/>
  <c r="J12" i="1" s="1"/>
  <c r="G12" i="1"/>
  <c r="F12" i="1"/>
  <c r="E12" i="1"/>
  <c r="D12" i="1"/>
  <c r="F11" i="1"/>
  <c r="I11" i="1" s="1"/>
  <c r="E11" i="1"/>
  <c r="G11" i="1" s="1"/>
  <c r="D11" i="1"/>
  <c r="I10" i="1"/>
  <c r="F10" i="1"/>
  <c r="E10" i="1"/>
  <c r="H10" i="1" s="1"/>
  <c r="J10" i="1" s="1"/>
  <c r="D10" i="1"/>
  <c r="F9" i="1"/>
  <c r="I9" i="1" s="1"/>
  <c r="E9" i="1"/>
  <c r="G9" i="1" s="1"/>
  <c r="D9" i="1"/>
  <c r="F8" i="1"/>
  <c r="I8" i="1" s="1"/>
  <c r="E8" i="1"/>
  <c r="G8" i="1" s="1"/>
  <c r="D8" i="1"/>
  <c r="F7" i="1"/>
  <c r="I7" i="1" s="1"/>
  <c r="E7" i="1"/>
  <c r="G7" i="1" s="1"/>
  <c r="D7" i="1"/>
  <c r="I6" i="1"/>
  <c r="G6" i="1"/>
  <c r="F6" i="1"/>
  <c r="E6" i="1"/>
  <c r="H6" i="1" s="1"/>
  <c r="J6" i="1" s="1"/>
  <c r="D6" i="1"/>
  <c r="H5" i="1"/>
  <c r="J5" i="1" s="1"/>
  <c r="F5" i="1"/>
  <c r="I5" i="1" s="1"/>
  <c r="E5" i="1"/>
  <c r="D5" i="1"/>
  <c r="F4" i="1"/>
  <c r="I4" i="1" s="1"/>
  <c r="E4" i="1"/>
  <c r="H4" i="1" s="1"/>
  <c r="J4" i="1" s="1"/>
  <c r="D4" i="1"/>
  <c r="I3" i="1"/>
  <c r="H3" i="1"/>
  <c r="J3" i="1" s="1"/>
  <c r="F3" i="1"/>
  <c r="G3" i="1" s="1"/>
  <c r="E3" i="1"/>
  <c r="D3" i="1"/>
  <c r="F2" i="1"/>
  <c r="I2" i="1" s="1"/>
  <c r="E2" i="1"/>
  <c r="H2" i="1" s="1"/>
  <c r="J2" i="1" s="1"/>
  <c r="D2" i="1"/>
  <c r="J31" i="1" l="1"/>
  <c r="L19" i="1"/>
  <c r="K19" i="1"/>
  <c r="L13" i="1"/>
  <c r="K13" i="1"/>
  <c r="K5" i="1"/>
  <c r="L5" i="1"/>
  <c r="L6" i="1"/>
  <c r="K6" i="1"/>
  <c r="K2" i="1"/>
  <c r="L2" i="1"/>
  <c r="L24" i="1"/>
  <c r="K24" i="1"/>
  <c r="J15" i="1"/>
  <c r="L25" i="1"/>
  <c r="K25" i="1"/>
  <c r="J21" i="1"/>
  <c r="L22" i="1"/>
  <c r="K22" i="1"/>
  <c r="K18" i="1"/>
  <c r="L18" i="1"/>
  <c r="L27" i="1"/>
  <c r="K27" i="1"/>
  <c r="L10" i="1"/>
  <c r="K10" i="1"/>
  <c r="L20" i="1"/>
  <c r="K20" i="1"/>
  <c r="K28" i="1"/>
  <c r="L28" i="1"/>
  <c r="L3" i="1"/>
  <c r="K3" i="1"/>
  <c r="L29" i="1"/>
  <c r="K29" i="1"/>
  <c r="K12" i="1"/>
  <c r="L12" i="1"/>
  <c r="L17" i="1"/>
  <c r="K17" i="1"/>
  <c r="K26" i="1"/>
  <c r="L26" i="1"/>
  <c r="L4" i="1"/>
  <c r="K4" i="1"/>
  <c r="L30" i="1"/>
  <c r="K30" i="1"/>
  <c r="G5" i="1"/>
  <c r="I21" i="1"/>
  <c r="H16" i="1"/>
  <c r="J16" i="1" s="1"/>
  <c r="G25" i="1"/>
  <c r="G2" i="1"/>
  <c r="H9" i="1"/>
  <c r="J9" i="1" s="1"/>
  <c r="G18" i="1"/>
  <c r="G30" i="1"/>
  <c r="H14" i="1"/>
  <c r="J14" i="1" s="1"/>
  <c r="G4" i="1"/>
  <c r="H11" i="1"/>
  <c r="J11" i="1" s="1"/>
  <c r="G20" i="1"/>
  <c r="G13" i="1"/>
  <c r="G29" i="1"/>
  <c r="G15" i="1"/>
  <c r="G24" i="1"/>
  <c r="H8" i="1"/>
  <c r="J8" i="1" s="1"/>
  <c r="G17" i="1"/>
  <c r="H7" i="1"/>
  <c r="J7" i="1" s="1"/>
  <c r="H23" i="1"/>
  <c r="J23" i="1" s="1"/>
  <c r="G10" i="1"/>
  <c r="G26" i="1"/>
  <c r="K31" i="1" l="1"/>
  <c r="L31" i="1"/>
  <c r="K7" i="1"/>
  <c r="L7" i="1"/>
  <c r="K15" i="1"/>
  <c r="L15" i="1"/>
  <c r="L9" i="1"/>
  <c r="K9" i="1"/>
  <c r="L21" i="1"/>
  <c r="K21" i="1"/>
  <c r="L16" i="1"/>
  <c r="K16" i="1"/>
  <c r="K23" i="1"/>
  <c r="L23" i="1"/>
  <c r="L8" i="1"/>
  <c r="K8" i="1"/>
  <c r="L11" i="1"/>
  <c r="K11" i="1"/>
  <c r="L14" i="1"/>
  <c r="K14" i="1"/>
</calcChain>
</file>

<file path=xl/sharedStrings.xml><?xml version="1.0" encoding="utf-8"?>
<sst xmlns="http://schemas.openxmlformats.org/spreadsheetml/2006/main" count="12" uniqueCount="12">
  <si>
    <t>Roll.No</t>
  </si>
  <si>
    <t>ISA Theory (30)</t>
  </si>
  <si>
    <t>ISA Lab (30)</t>
  </si>
  <si>
    <t>Total ISA (60)</t>
  </si>
  <si>
    <t>SEA Theory (20)</t>
  </si>
  <si>
    <t>SEA Lab (20)</t>
  </si>
  <si>
    <t>Total SEA (40)</t>
  </si>
  <si>
    <t>Total Theory (50)</t>
  </si>
  <si>
    <t>Total Lab (50)</t>
  </si>
  <si>
    <t>Final Marks (100)</t>
  </si>
  <si>
    <t>Percentage</t>
  </si>
  <si>
    <t xml:space="preserve">Grade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</si>
</sst>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u/>
      <sz val="11"/>
      <color rgb="FF0000FF"/>
      <name val="Calibri"/>
    </font>
    <font>
      <b/>
      <sz val="11"/>
      <color rgb="FF000000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2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ol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2"/>
  <sheetViews>
    <sheetView tabSelected="1"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 x14ac:dyDescent="0.25"/>
  <cols>
    <col min="8" max="8" width="13.88671875" customWidth="1"/>
    <col min="10" max="10" width="15.44140625" customWidth="1"/>
    <col min="11" max="12" width="14.44140625" customWidth="1"/>
  </cols>
  <sheetData>
    <row r="1" spans="1:14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 spans="1:14" x14ac:dyDescent="0.25">
      <c r="A2" s="3">
        <v>2301</v>
      </c>
      <c r="B2" s="4">
        <v>29.5</v>
      </c>
      <c r="C2" s="5">
        <v>30</v>
      </c>
      <c r="D2" s="3">
        <f>SUM(B2,C2)</f>
        <v>59.5</v>
      </c>
      <c r="E2" s="4">
        <f t="shared" ref="E2:F2" si="0">ROUND( (B2 / 30) * 20, 2 )</f>
        <v>19.670000000000002</v>
      </c>
      <c r="F2" s="4">
        <f t="shared" si="0"/>
        <v>20</v>
      </c>
      <c r="G2" s="4">
        <f>SUM(E2,F2)</f>
        <v>39.67</v>
      </c>
      <c r="H2" s="4">
        <f t="shared" ref="H2:I2" si="1">SUM(B2,E2)</f>
        <v>49.17</v>
      </c>
      <c r="I2" s="5">
        <f t="shared" si="1"/>
        <v>50</v>
      </c>
      <c r="J2" s="4">
        <f t="shared" ref="J2:J31" si="2">SUM(H2,I2)</f>
        <v>99.17</v>
      </c>
      <c r="K2" s="6">
        <f t="shared" ref="K2:K31" si="3">ROUND((J2/100)*100, 2)</f>
        <v>99.17</v>
      </c>
      <c r="L2" s="7" t="str">
        <f t="shared" ref="L2:L31" si="4">IF(J2&gt;=85,"O (Outstanding)",
IF(J2&gt;=75,"A+ (Excellent)",
IF(J2&gt;=65,"A (Very Good)",
IF(J2&gt;=55,"B+ (Good)",
IF(J2&gt;=50,"B (Above Average)",
IF(J2&gt;=45,"C (Average)",
IF(J2&gt;=40,"P (Pass)","F (Fail)")))))))</f>
        <v>O (Outstanding)</v>
      </c>
    </row>
    <row r="3" spans="1:14" x14ac:dyDescent="0.25">
      <c r="A3" s="3">
        <v>2302</v>
      </c>
      <c r="B3" s="4">
        <v>27</v>
      </c>
      <c r="C3" s="5">
        <v>29.4</v>
      </c>
      <c r="D3" s="3">
        <f t="shared" ref="D3:D31" si="5">SUM(B3:C3)</f>
        <v>56.4</v>
      </c>
      <c r="E3" s="4">
        <f t="shared" ref="E3:F3" si="6">ROUND( (B3 / 30) * 20, 2 )</f>
        <v>18</v>
      </c>
      <c r="F3" s="4">
        <f t="shared" si="6"/>
        <v>19.600000000000001</v>
      </c>
      <c r="G3" s="4">
        <f t="shared" ref="G3:G31" si="7">SUM(E3:F3)</f>
        <v>37.6</v>
      </c>
      <c r="H3" s="4">
        <f t="shared" ref="H3:I3" si="8">SUM(B3,E3)</f>
        <v>45</v>
      </c>
      <c r="I3" s="5">
        <f t="shared" si="8"/>
        <v>49</v>
      </c>
      <c r="J3" s="4">
        <f t="shared" si="2"/>
        <v>94</v>
      </c>
      <c r="K3" s="6">
        <f t="shared" si="3"/>
        <v>94</v>
      </c>
      <c r="L3" s="7" t="str">
        <f t="shared" si="4"/>
        <v>O (Outstanding)</v>
      </c>
    </row>
    <row r="4" spans="1:14" x14ac:dyDescent="0.25">
      <c r="A4" s="3">
        <v>2303</v>
      </c>
      <c r="B4" s="4">
        <v>28</v>
      </c>
      <c r="C4" s="5">
        <v>30</v>
      </c>
      <c r="D4" s="3">
        <f t="shared" si="5"/>
        <v>58</v>
      </c>
      <c r="E4" s="4">
        <f t="shared" ref="E4:F4" si="9">ROUND( (B4 / 30) * 20, 2 )</f>
        <v>18.670000000000002</v>
      </c>
      <c r="F4" s="4">
        <f t="shared" si="9"/>
        <v>20</v>
      </c>
      <c r="G4" s="4">
        <f t="shared" si="7"/>
        <v>38.67</v>
      </c>
      <c r="H4" s="4">
        <f t="shared" ref="H4:I4" si="10">SUM(B4,E4)</f>
        <v>46.67</v>
      </c>
      <c r="I4" s="5">
        <f t="shared" si="10"/>
        <v>50</v>
      </c>
      <c r="J4" s="4">
        <f t="shared" si="2"/>
        <v>96.67</v>
      </c>
      <c r="K4" s="6">
        <f t="shared" si="3"/>
        <v>96.67</v>
      </c>
      <c r="L4" s="7" t="str">
        <f t="shared" si="4"/>
        <v>O (Outstanding)</v>
      </c>
    </row>
    <row r="5" spans="1:14" x14ac:dyDescent="0.25">
      <c r="A5" s="3">
        <v>2304</v>
      </c>
      <c r="B5" s="4">
        <v>26</v>
      </c>
      <c r="C5" s="5">
        <v>28.8</v>
      </c>
      <c r="D5" s="3">
        <f t="shared" si="5"/>
        <v>54.8</v>
      </c>
      <c r="E5" s="4">
        <f t="shared" ref="E5:F5" si="11">ROUND( (B5 / 30) * 20, 2 )</f>
        <v>17.329999999999998</v>
      </c>
      <c r="F5" s="4">
        <f t="shared" si="11"/>
        <v>19.2</v>
      </c>
      <c r="G5" s="4">
        <f t="shared" si="7"/>
        <v>36.53</v>
      </c>
      <c r="H5" s="4">
        <f t="shared" ref="H5:I5" si="12">SUM(B5,E5)</f>
        <v>43.33</v>
      </c>
      <c r="I5" s="5">
        <f t="shared" si="12"/>
        <v>48</v>
      </c>
      <c r="J5" s="4">
        <f t="shared" si="2"/>
        <v>91.33</v>
      </c>
      <c r="K5" s="6">
        <f t="shared" si="3"/>
        <v>91.33</v>
      </c>
      <c r="L5" s="7" t="str">
        <f t="shared" si="4"/>
        <v>O (Outstanding)</v>
      </c>
    </row>
    <row r="6" spans="1:14" x14ac:dyDescent="0.25">
      <c r="A6" s="3">
        <v>2305</v>
      </c>
      <c r="B6" s="4">
        <v>27.5</v>
      </c>
      <c r="C6" s="5">
        <v>30</v>
      </c>
      <c r="D6" s="3">
        <f t="shared" si="5"/>
        <v>57.5</v>
      </c>
      <c r="E6" s="4">
        <f t="shared" ref="E6:F6" si="13">ROUND( (B6 / 30) * 20, 2 )</f>
        <v>18.329999999999998</v>
      </c>
      <c r="F6" s="4">
        <f t="shared" si="13"/>
        <v>20</v>
      </c>
      <c r="G6" s="4">
        <f t="shared" si="7"/>
        <v>38.33</v>
      </c>
      <c r="H6" s="4">
        <f t="shared" ref="H6:I6" si="14">SUM(B6,E6)</f>
        <v>45.83</v>
      </c>
      <c r="I6" s="5">
        <f t="shared" si="14"/>
        <v>50</v>
      </c>
      <c r="J6" s="4">
        <f t="shared" si="2"/>
        <v>95.83</v>
      </c>
      <c r="K6" s="6">
        <f t="shared" si="3"/>
        <v>95.83</v>
      </c>
      <c r="L6" s="7" t="str">
        <f t="shared" si="4"/>
        <v>O (Outstanding)</v>
      </c>
      <c r="N6" s="4"/>
    </row>
    <row r="7" spans="1:14" x14ac:dyDescent="0.25">
      <c r="A7" s="3">
        <v>2306</v>
      </c>
      <c r="B7" s="4">
        <v>27.5</v>
      </c>
      <c r="C7" s="5">
        <v>27.6</v>
      </c>
      <c r="D7" s="3">
        <f t="shared" si="5"/>
        <v>55.1</v>
      </c>
      <c r="E7" s="4">
        <f t="shared" ref="E7:F7" si="15">ROUND( (B7 / 30) * 20, 2 )</f>
        <v>18.329999999999998</v>
      </c>
      <c r="F7" s="4">
        <f t="shared" si="15"/>
        <v>18.399999999999999</v>
      </c>
      <c r="G7" s="4">
        <f t="shared" si="7"/>
        <v>36.729999999999997</v>
      </c>
      <c r="H7" s="4">
        <f t="shared" ref="H7:I7" si="16">SUM(B7,E7)</f>
        <v>45.83</v>
      </c>
      <c r="I7" s="5">
        <f t="shared" si="16"/>
        <v>46</v>
      </c>
      <c r="J7" s="4">
        <f t="shared" si="2"/>
        <v>91.83</v>
      </c>
      <c r="K7" s="6">
        <f t="shared" si="3"/>
        <v>91.83</v>
      </c>
      <c r="L7" s="7" t="str">
        <f t="shared" si="4"/>
        <v>O (Outstanding)</v>
      </c>
    </row>
    <row r="8" spans="1:14" x14ac:dyDescent="0.25">
      <c r="A8" s="3">
        <v>2308</v>
      </c>
      <c r="B8" s="4">
        <v>25.5</v>
      </c>
      <c r="C8" s="5">
        <v>25.2</v>
      </c>
      <c r="D8" s="3">
        <f t="shared" si="5"/>
        <v>50.7</v>
      </c>
      <c r="E8" s="4">
        <f t="shared" ref="E8:F8" si="17">ROUND( (B8 / 30) * 20, 2 )</f>
        <v>17</v>
      </c>
      <c r="F8" s="4">
        <f t="shared" si="17"/>
        <v>16.8</v>
      </c>
      <c r="G8" s="4">
        <f t="shared" si="7"/>
        <v>33.799999999999997</v>
      </c>
      <c r="H8" s="4">
        <f t="shared" ref="H8:I8" si="18">SUM(B8,E8)</f>
        <v>42.5</v>
      </c>
      <c r="I8" s="5">
        <f t="shared" si="18"/>
        <v>42</v>
      </c>
      <c r="J8" s="4">
        <f t="shared" si="2"/>
        <v>84.5</v>
      </c>
      <c r="K8" s="6">
        <f t="shared" si="3"/>
        <v>84.5</v>
      </c>
      <c r="L8" s="7" t="str">
        <f t="shared" si="4"/>
        <v>A+ (Excellent)</v>
      </c>
    </row>
    <row r="9" spans="1:14" x14ac:dyDescent="0.25">
      <c r="A9" s="3">
        <v>2309</v>
      </c>
      <c r="B9" s="4">
        <v>28</v>
      </c>
      <c r="C9" s="5">
        <v>27.6</v>
      </c>
      <c r="D9" s="3">
        <f t="shared" si="5"/>
        <v>55.6</v>
      </c>
      <c r="E9" s="4">
        <f t="shared" ref="E9:F9" si="19">ROUND( (B9 / 30) * 20, 2 )</f>
        <v>18.670000000000002</v>
      </c>
      <c r="F9" s="4">
        <f t="shared" si="19"/>
        <v>18.399999999999999</v>
      </c>
      <c r="G9" s="4">
        <f t="shared" si="7"/>
        <v>37.07</v>
      </c>
      <c r="H9" s="4">
        <f t="shared" ref="H9:I9" si="20">SUM(B9,E9)</f>
        <v>46.67</v>
      </c>
      <c r="I9" s="5">
        <f t="shared" si="20"/>
        <v>46</v>
      </c>
      <c r="J9" s="4">
        <f t="shared" si="2"/>
        <v>92.67</v>
      </c>
      <c r="K9" s="6">
        <f t="shared" si="3"/>
        <v>92.67</v>
      </c>
      <c r="L9" s="7" t="str">
        <f t="shared" si="4"/>
        <v>O (Outstanding)</v>
      </c>
    </row>
    <row r="10" spans="1:14" x14ac:dyDescent="0.25">
      <c r="A10" s="3">
        <v>2310</v>
      </c>
      <c r="B10" s="4">
        <v>25.5</v>
      </c>
      <c r="C10" s="5">
        <v>30</v>
      </c>
      <c r="D10" s="3">
        <f t="shared" si="5"/>
        <v>55.5</v>
      </c>
      <c r="E10" s="4">
        <f t="shared" ref="E10:F10" si="21">ROUND( (B10 / 30) * 20, 2 )</f>
        <v>17</v>
      </c>
      <c r="F10" s="4">
        <f t="shared" si="21"/>
        <v>20</v>
      </c>
      <c r="G10" s="4">
        <f t="shared" si="7"/>
        <v>37</v>
      </c>
      <c r="H10" s="4">
        <f t="shared" ref="H10:I10" si="22">SUM(B10,E10)</f>
        <v>42.5</v>
      </c>
      <c r="I10" s="5">
        <f t="shared" si="22"/>
        <v>50</v>
      </c>
      <c r="J10" s="4">
        <f t="shared" si="2"/>
        <v>92.5</v>
      </c>
      <c r="K10" s="6">
        <f t="shared" si="3"/>
        <v>92.5</v>
      </c>
      <c r="L10" s="7" t="str">
        <f t="shared" si="4"/>
        <v>O (Outstanding)</v>
      </c>
    </row>
    <row r="11" spans="1:14" x14ac:dyDescent="0.25">
      <c r="A11" s="3">
        <v>2312</v>
      </c>
      <c r="B11" s="4">
        <v>26</v>
      </c>
      <c r="C11" s="5">
        <v>25.8</v>
      </c>
      <c r="D11" s="3">
        <f t="shared" si="5"/>
        <v>51.8</v>
      </c>
      <c r="E11" s="4">
        <f t="shared" ref="E11:F11" si="23">ROUND( (B11 / 30) * 20, 2 )</f>
        <v>17.329999999999998</v>
      </c>
      <c r="F11" s="4">
        <f t="shared" si="23"/>
        <v>17.2</v>
      </c>
      <c r="G11" s="4">
        <f t="shared" si="7"/>
        <v>34.53</v>
      </c>
      <c r="H11" s="4">
        <f t="shared" ref="H11:I11" si="24">SUM(B11,E11)</f>
        <v>43.33</v>
      </c>
      <c r="I11" s="5">
        <f t="shared" si="24"/>
        <v>43</v>
      </c>
      <c r="J11" s="4">
        <f t="shared" si="2"/>
        <v>86.33</v>
      </c>
      <c r="K11" s="6">
        <f t="shared" si="3"/>
        <v>86.33</v>
      </c>
      <c r="L11" s="7" t="str">
        <f t="shared" si="4"/>
        <v>O (Outstanding)</v>
      </c>
    </row>
    <row r="12" spans="1:14" x14ac:dyDescent="0.25">
      <c r="A12" s="3">
        <v>2313</v>
      </c>
      <c r="B12" s="4">
        <v>25.5</v>
      </c>
      <c r="C12" s="5">
        <v>28.8</v>
      </c>
      <c r="D12" s="3">
        <f t="shared" si="5"/>
        <v>54.3</v>
      </c>
      <c r="E12" s="4">
        <f t="shared" ref="E12:F12" si="25">ROUND( (B12 / 30) * 20, 2 )</f>
        <v>17</v>
      </c>
      <c r="F12" s="4">
        <f t="shared" si="25"/>
        <v>19.2</v>
      </c>
      <c r="G12" s="4">
        <f t="shared" si="7"/>
        <v>36.200000000000003</v>
      </c>
      <c r="H12" s="4">
        <f t="shared" ref="H12:I12" si="26">SUM(B12,E12)</f>
        <v>42.5</v>
      </c>
      <c r="I12" s="5">
        <f t="shared" si="26"/>
        <v>48</v>
      </c>
      <c r="J12" s="4">
        <f t="shared" si="2"/>
        <v>90.5</v>
      </c>
      <c r="K12" s="6">
        <f t="shared" si="3"/>
        <v>90.5</v>
      </c>
      <c r="L12" s="7" t="str">
        <f t="shared" si="4"/>
        <v>O (Outstanding)</v>
      </c>
    </row>
    <row r="13" spans="1:14" x14ac:dyDescent="0.25">
      <c r="A13" s="3">
        <v>2314</v>
      </c>
      <c r="B13" s="4">
        <v>23</v>
      </c>
      <c r="C13" s="5">
        <v>25.8</v>
      </c>
      <c r="D13" s="3">
        <f t="shared" si="5"/>
        <v>48.8</v>
      </c>
      <c r="E13" s="4">
        <f t="shared" ref="E13:F13" si="27">ROUND( (B13 / 30) * 20, 2 )</f>
        <v>15.33</v>
      </c>
      <c r="F13" s="4">
        <f t="shared" si="27"/>
        <v>17.2</v>
      </c>
      <c r="G13" s="4">
        <f t="shared" si="7"/>
        <v>32.53</v>
      </c>
      <c r="H13" s="4">
        <f t="shared" ref="H13:I13" si="28">SUM(B13,E13)</f>
        <v>38.33</v>
      </c>
      <c r="I13" s="5">
        <f t="shared" si="28"/>
        <v>43</v>
      </c>
      <c r="J13" s="4">
        <f t="shared" si="2"/>
        <v>81.33</v>
      </c>
      <c r="K13" s="6">
        <f t="shared" si="3"/>
        <v>81.33</v>
      </c>
      <c r="L13" s="7" t="str">
        <f t="shared" si="4"/>
        <v>A+ (Excellent)</v>
      </c>
    </row>
    <row r="14" spans="1:14" x14ac:dyDescent="0.25">
      <c r="A14" s="3">
        <v>2315</v>
      </c>
      <c r="B14" s="4">
        <v>23.5</v>
      </c>
      <c r="C14" s="5">
        <v>24.6</v>
      </c>
      <c r="D14" s="3">
        <f t="shared" si="5"/>
        <v>48.1</v>
      </c>
      <c r="E14" s="4">
        <f t="shared" ref="E14:F14" si="29">ROUND( (B14 / 30) * 20, 2 )</f>
        <v>15.67</v>
      </c>
      <c r="F14" s="4">
        <f t="shared" si="29"/>
        <v>16.399999999999999</v>
      </c>
      <c r="G14" s="4">
        <f t="shared" si="7"/>
        <v>32.07</v>
      </c>
      <c r="H14" s="4">
        <f t="shared" ref="H14:I14" si="30">SUM(B14,E14)</f>
        <v>39.17</v>
      </c>
      <c r="I14" s="5">
        <f t="shared" si="30"/>
        <v>41</v>
      </c>
      <c r="J14" s="4">
        <f t="shared" si="2"/>
        <v>80.17</v>
      </c>
      <c r="K14" s="6">
        <f t="shared" si="3"/>
        <v>80.17</v>
      </c>
      <c r="L14" s="7" t="str">
        <f t="shared" si="4"/>
        <v>A+ (Excellent)</v>
      </c>
    </row>
    <row r="15" spans="1:14" x14ac:dyDescent="0.25">
      <c r="A15" s="3">
        <v>2316</v>
      </c>
      <c r="B15" s="4">
        <v>27.5</v>
      </c>
      <c r="C15" s="5">
        <v>28.8</v>
      </c>
      <c r="D15" s="3">
        <f t="shared" si="5"/>
        <v>56.3</v>
      </c>
      <c r="E15" s="4">
        <f t="shared" ref="E15:F15" si="31">ROUND( (B15 / 30) * 20, 2 )</f>
        <v>18.329999999999998</v>
      </c>
      <c r="F15" s="4">
        <f t="shared" si="31"/>
        <v>19.2</v>
      </c>
      <c r="G15" s="4">
        <f t="shared" si="7"/>
        <v>37.53</v>
      </c>
      <c r="H15" s="4">
        <f t="shared" ref="H15:I15" si="32">SUM(B15,E15)</f>
        <v>45.83</v>
      </c>
      <c r="I15" s="5">
        <f t="shared" si="32"/>
        <v>48</v>
      </c>
      <c r="J15" s="4">
        <f t="shared" si="2"/>
        <v>93.83</v>
      </c>
      <c r="K15" s="6">
        <f t="shared" si="3"/>
        <v>93.83</v>
      </c>
      <c r="L15" s="7" t="str">
        <f t="shared" si="4"/>
        <v>O (Outstanding)</v>
      </c>
    </row>
    <row r="16" spans="1:14" x14ac:dyDescent="0.25">
      <c r="A16" s="3">
        <v>2317</v>
      </c>
      <c r="B16" s="4">
        <v>25.5</v>
      </c>
      <c r="C16" s="5">
        <v>29.4</v>
      </c>
      <c r="D16" s="3">
        <f t="shared" si="5"/>
        <v>54.9</v>
      </c>
      <c r="E16" s="4">
        <f t="shared" ref="E16:F16" si="33">ROUND( (B16 / 30) * 20, 2 )</f>
        <v>17</v>
      </c>
      <c r="F16" s="4">
        <f t="shared" si="33"/>
        <v>19.600000000000001</v>
      </c>
      <c r="G16" s="4">
        <f t="shared" si="7"/>
        <v>36.6</v>
      </c>
      <c r="H16" s="4">
        <f t="shared" ref="H16:I16" si="34">SUM(B16,E16)</f>
        <v>42.5</v>
      </c>
      <c r="I16" s="5">
        <f t="shared" si="34"/>
        <v>49</v>
      </c>
      <c r="J16" s="4">
        <f t="shared" si="2"/>
        <v>91.5</v>
      </c>
      <c r="K16" s="6">
        <f t="shared" si="3"/>
        <v>91.5</v>
      </c>
      <c r="L16" s="7" t="str">
        <f t="shared" si="4"/>
        <v>O (Outstanding)</v>
      </c>
    </row>
    <row r="17" spans="1:12" x14ac:dyDescent="0.25">
      <c r="A17" s="3">
        <v>2318</v>
      </c>
      <c r="B17" s="4">
        <v>28</v>
      </c>
      <c r="C17" s="5">
        <v>30</v>
      </c>
      <c r="D17" s="3">
        <f t="shared" si="5"/>
        <v>58</v>
      </c>
      <c r="E17" s="4">
        <f t="shared" ref="E17:F17" si="35">ROUND( (B17 / 30) * 20, 2 )</f>
        <v>18.670000000000002</v>
      </c>
      <c r="F17" s="4">
        <f t="shared" si="35"/>
        <v>20</v>
      </c>
      <c r="G17" s="4">
        <f t="shared" si="7"/>
        <v>38.67</v>
      </c>
      <c r="H17" s="4">
        <f t="shared" ref="H17:I17" si="36">SUM(B17,E17)</f>
        <v>46.67</v>
      </c>
      <c r="I17" s="5">
        <f t="shared" si="36"/>
        <v>50</v>
      </c>
      <c r="J17" s="4">
        <f t="shared" si="2"/>
        <v>96.67</v>
      </c>
      <c r="K17" s="6">
        <f t="shared" si="3"/>
        <v>96.67</v>
      </c>
      <c r="L17" s="7" t="str">
        <f t="shared" si="4"/>
        <v>O (Outstanding)</v>
      </c>
    </row>
    <row r="18" spans="1:12" x14ac:dyDescent="0.25">
      <c r="A18" s="3">
        <v>2319</v>
      </c>
      <c r="B18" s="4">
        <v>28.5</v>
      </c>
      <c r="C18" s="5">
        <v>30</v>
      </c>
      <c r="D18" s="3">
        <f t="shared" si="5"/>
        <v>58.5</v>
      </c>
      <c r="E18" s="4">
        <f t="shared" ref="E18:F18" si="37">ROUND( (B18 / 30) * 20, 2 )</f>
        <v>19</v>
      </c>
      <c r="F18" s="4">
        <f t="shared" si="37"/>
        <v>20</v>
      </c>
      <c r="G18" s="4">
        <f t="shared" si="7"/>
        <v>39</v>
      </c>
      <c r="H18" s="4">
        <f t="shared" ref="H18:I18" si="38">SUM(B18,E18)</f>
        <v>47.5</v>
      </c>
      <c r="I18" s="5">
        <f t="shared" si="38"/>
        <v>50</v>
      </c>
      <c r="J18" s="4">
        <f t="shared" si="2"/>
        <v>97.5</v>
      </c>
      <c r="K18" s="6">
        <f t="shared" si="3"/>
        <v>97.5</v>
      </c>
      <c r="L18" s="7" t="str">
        <f t="shared" si="4"/>
        <v>O (Outstanding)</v>
      </c>
    </row>
    <row r="19" spans="1:12" x14ac:dyDescent="0.25">
      <c r="A19" s="3">
        <v>2320</v>
      </c>
      <c r="B19" s="4">
        <v>28</v>
      </c>
      <c r="C19" s="5">
        <v>28.2</v>
      </c>
      <c r="D19" s="3">
        <f t="shared" si="5"/>
        <v>56.2</v>
      </c>
      <c r="E19" s="4">
        <f t="shared" ref="E19:F19" si="39">ROUND( (B19 / 30) * 20, 2 )</f>
        <v>18.670000000000002</v>
      </c>
      <c r="F19" s="4">
        <f t="shared" si="39"/>
        <v>18.8</v>
      </c>
      <c r="G19" s="4">
        <f t="shared" si="7"/>
        <v>37.47</v>
      </c>
      <c r="H19" s="4">
        <f t="shared" ref="H19:I19" si="40">SUM(B19,E19)</f>
        <v>46.67</v>
      </c>
      <c r="I19" s="5">
        <f t="shared" si="40"/>
        <v>47</v>
      </c>
      <c r="J19" s="4">
        <f t="shared" si="2"/>
        <v>93.67</v>
      </c>
      <c r="K19" s="6">
        <f t="shared" si="3"/>
        <v>93.67</v>
      </c>
      <c r="L19" s="7" t="str">
        <f t="shared" si="4"/>
        <v>O (Outstanding)</v>
      </c>
    </row>
    <row r="20" spans="1:12" x14ac:dyDescent="0.25">
      <c r="A20" s="3">
        <v>2321</v>
      </c>
      <c r="B20" s="4">
        <v>27</v>
      </c>
      <c r="C20" s="5">
        <v>26.4</v>
      </c>
      <c r="D20" s="3">
        <f t="shared" si="5"/>
        <v>53.4</v>
      </c>
      <c r="E20" s="4">
        <f t="shared" ref="E20:F20" si="41">ROUND( (B20 / 30) * 20, 2 )</f>
        <v>18</v>
      </c>
      <c r="F20" s="4">
        <f t="shared" si="41"/>
        <v>17.600000000000001</v>
      </c>
      <c r="G20" s="4">
        <f t="shared" si="7"/>
        <v>35.6</v>
      </c>
      <c r="H20" s="4">
        <f t="shared" ref="H20:I20" si="42">SUM(B20,E20)</f>
        <v>45</v>
      </c>
      <c r="I20" s="5">
        <f t="shared" si="42"/>
        <v>44</v>
      </c>
      <c r="J20" s="4">
        <f t="shared" si="2"/>
        <v>89</v>
      </c>
      <c r="K20" s="6">
        <f t="shared" si="3"/>
        <v>89</v>
      </c>
      <c r="L20" s="7" t="str">
        <f t="shared" si="4"/>
        <v>O (Outstanding)</v>
      </c>
    </row>
    <row r="21" spans="1:12" x14ac:dyDescent="0.25">
      <c r="A21" s="3">
        <v>2322</v>
      </c>
      <c r="B21" s="4">
        <v>27.5</v>
      </c>
      <c r="C21" s="5">
        <v>28.2</v>
      </c>
      <c r="D21" s="3">
        <f t="shared" si="5"/>
        <v>55.7</v>
      </c>
      <c r="E21" s="4">
        <f t="shared" ref="E21:F21" si="43">ROUND( (B21 / 30) * 20, 2 )</f>
        <v>18.329999999999998</v>
      </c>
      <c r="F21" s="4">
        <f t="shared" si="43"/>
        <v>18.8</v>
      </c>
      <c r="G21" s="4">
        <f t="shared" si="7"/>
        <v>37.129999999999995</v>
      </c>
      <c r="H21" s="4">
        <f t="shared" ref="H21:I21" si="44">SUM(B21,E21)</f>
        <v>45.83</v>
      </c>
      <c r="I21" s="5">
        <f t="shared" si="44"/>
        <v>47</v>
      </c>
      <c r="J21" s="4">
        <f t="shared" si="2"/>
        <v>92.83</v>
      </c>
      <c r="K21" s="6">
        <f t="shared" si="3"/>
        <v>92.83</v>
      </c>
      <c r="L21" s="7" t="str">
        <f t="shared" si="4"/>
        <v>O (Outstanding)</v>
      </c>
    </row>
    <row r="22" spans="1:12" x14ac:dyDescent="0.25">
      <c r="A22" s="3">
        <v>2323</v>
      </c>
      <c r="B22" s="4">
        <v>25</v>
      </c>
      <c r="C22" s="5">
        <v>25.8</v>
      </c>
      <c r="D22" s="3">
        <f t="shared" si="5"/>
        <v>50.8</v>
      </c>
      <c r="E22" s="4">
        <f t="shared" ref="E22:F22" si="45">ROUND( (B22 / 30) * 20, 2 )</f>
        <v>16.670000000000002</v>
      </c>
      <c r="F22" s="4">
        <f t="shared" si="45"/>
        <v>17.2</v>
      </c>
      <c r="G22" s="4">
        <f t="shared" si="7"/>
        <v>33.870000000000005</v>
      </c>
      <c r="H22" s="4">
        <f t="shared" ref="H22:I22" si="46">SUM(B22,E22)</f>
        <v>41.67</v>
      </c>
      <c r="I22" s="5">
        <f t="shared" si="46"/>
        <v>43</v>
      </c>
      <c r="J22" s="4">
        <f t="shared" si="2"/>
        <v>84.67</v>
      </c>
      <c r="K22" s="6">
        <f t="shared" si="3"/>
        <v>84.67</v>
      </c>
      <c r="L22" s="7" t="str">
        <f t="shared" si="4"/>
        <v>A+ (Excellent)</v>
      </c>
    </row>
    <row r="23" spans="1:12" x14ac:dyDescent="0.25">
      <c r="A23" s="3">
        <v>2324</v>
      </c>
      <c r="B23" s="4">
        <v>26</v>
      </c>
      <c r="C23" s="5">
        <v>28.2</v>
      </c>
      <c r="D23" s="3">
        <f t="shared" si="5"/>
        <v>54.2</v>
      </c>
      <c r="E23" s="4">
        <f t="shared" ref="E23:F23" si="47">ROUND( (B23 / 30) * 20, 2 )</f>
        <v>17.329999999999998</v>
      </c>
      <c r="F23" s="4">
        <f t="shared" si="47"/>
        <v>18.8</v>
      </c>
      <c r="G23" s="4">
        <f t="shared" si="7"/>
        <v>36.129999999999995</v>
      </c>
      <c r="H23" s="4">
        <f t="shared" ref="H23:I23" si="48">SUM(B23,E23)</f>
        <v>43.33</v>
      </c>
      <c r="I23" s="5">
        <f t="shared" si="48"/>
        <v>47</v>
      </c>
      <c r="J23" s="4">
        <f t="shared" si="2"/>
        <v>90.33</v>
      </c>
      <c r="K23" s="6">
        <f t="shared" si="3"/>
        <v>90.33</v>
      </c>
      <c r="L23" s="7" t="str">
        <f t="shared" si="4"/>
        <v>O (Outstanding)</v>
      </c>
    </row>
    <row r="24" spans="1:12" x14ac:dyDescent="0.25">
      <c r="A24" s="3">
        <v>2325</v>
      </c>
      <c r="B24" s="4">
        <v>22.5</v>
      </c>
      <c r="C24" s="5">
        <v>25.2</v>
      </c>
      <c r="D24" s="3">
        <f t="shared" si="5"/>
        <v>47.7</v>
      </c>
      <c r="E24" s="4">
        <f t="shared" ref="E24:F24" si="49">ROUND( (B24 / 30) * 20, 2 )</f>
        <v>15</v>
      </c>
      <c r="F24" s="4">
        <f t="shared" si="49"/>
        <v>16.8</v>
      </c>
      <c r="G24" s="4">
        <f t="shared" si="7"/>
        <v>31.8</v>
      </c>
      <c r="H24" s="4">
        <f t="shared" ref="H24:I24" si="50">SUM(B24,E24)</f>
        <v>37.5</v>
      </c>
      <c r="I24" s="5">
        <f t="shared" si="50"/>
        <v>42</v>
      </c>
      <c r="J24" s="4">
        <f t="shared" si="2"/>
        <v>79.5</v>
      </c>
      <c r="K24" s="6">
        <f t="shared" si="3"/>
        <v>79.5</v>
      </c>
      <c r="L24" s="7" t="str">
        <f t="shared" si="4"/>
        <v>A+ (Excellent)</v>
      </c>
    </row>
    <row r="25" spans="1:12" ht="13.2" x14ac:dyDescent="0.25">
      <c r="A25" s="3">
        <v>2326</v>
      </c>
      <c r="B25" s="4">
        <v>28.5</v>
      </c>
      <c r="C25" s="5">
        <v>25.2</v>
      </c>
      <c r="D25" s="3">
        <f t="shared" si="5"/>
        <v>53.7</v>
      </c>
      <c r="E25" s="4">
        <f t="shared" ref="E25:F25" si="51">ROUND( (B25 / 30) * 20, 2 )</f>
        <v>19</v>
      </c>
      <c r="F25" s="4">
        <f t="shared" si="51"/>
        <v>16.8</v>
      </c>
      <c r="G25" s="4">
        <f t="shared" si="7"/>
        <v>35.799999999999997</v>
      </c>
      <c r="H25" s="4">
        <f t="shared" ref="H25:I25" si="52">SUM(B25,E25)</f>
        <v>47.5</v>
      </c>
      <c r="I25" s="5">
        <f t="shared" si="52"/>
        <v>42</v>
      </c>
      <c r="J25" s="4">
        <f t="shared" si="2"/>
        <v>89.5</v>
      </c>
      <c r="K25" s="6">
        <f t="shared" si="3"/>
        <v>89.5</v>
      </c>
      <c r="L25" s="7" t="str">
        <f t="shared" si="4"/>
        <v>O (Outstanding)</v>
      </c>
    </row>
    <row r="26" spans="1:12" ht="13.2" x14ac:dyDescent="0.25">
      <c r="A26" s="3">
        <v>2327</v>
      </c>
      <c r="B26" s="4">
        <v>22</v>
      </c>
      <c r="C26" s="5">
        <v>25.8</v>
      </c>
      <c r="D26" s="3">
        <f t="shared" si="5"/>
        <v>47.8</v>
      </c>
      <c r="E26" s="4">
        <f t="shared" ref="E26:F26" si="53">ROUND( (B26 / 30) * 20, 2 )</f>
        <v>14.67</v>
      </c>
      <c r="F26" s="4">
        <f t="shared" si="53"/>
        <v>17.2</v>
      </c>
      <c r="G26" s="4">
        <f t="shared" si="7"/>
        <v>31.869999999999997</v>
      </c>
      <c r="H26" s="4">
        <f t="shared" ref="H26:I26" si="54">SUM(B26,E26)</f>
        <v>36.67</v>
      </c>
      <c r="I26" s="5">
        <f t="shared" si="54"/>
        <v>43</v>
      </c>
      <c r="J26" s="4">
        <f t="shared" si="2"/>
        <v>79.67</v>
      </c>
      <c r="K26" s="6">
        <f t="shared" si="3"/>
        <v>79.67</v>
      </c>
      <c r="L26" s="7" t="str">
        <f t="shared" si="4"/>
        <v>A+ (Excellent)</v>
      </c>
    </row>
    <row r="27" spans="1:12" ht="13.2" x14ac:dyDescent="0.25">
      <c r="A27" s="3">
        <v>2328</v>
      </c>
      <c r="B27" s="4">
        <v>26</v>
      </c>
      <c r="C27" s="5">
        <v>28.2</v>
      </c>
      <c r="D27" s="3">
        <f t="shared" si="5"/>
        <v>54.2</v>
      </c>
      <c r="E27" s="4">
        <f t="shared" ref="E27:F27" si="55">ROUND( (B27 / 30) * 20, 2 )</f>
        <v>17.329999999999998</v>
      </c>
      <c r="F27" s="4">
        <f t="shared" si="55"/>
        <v>18.8</v>
      </c>
      <c r="G27" s="4">
        <f t="shared" si="7"/>
        <v>36.129999999999995</v>
      </c>
      <c r="H27" s="4">
        <f t="shared" ref="H27:I27" si="56">SUM(B27,E27)</f>
        <v>43.33</v>
      </c>
      <c r="I27" s="5">
        <f t="shared" si="56"/>
        <v>47</v>
      </c>
      <c r="J27" s="4">
        <f t="shared" si="2"/>
        <v>90.33</v>
      </c>
      <c r="K27" s="6">
        <f t="shared" si="3"/>
        <v>90.33</v>
      </c>
      <c r="L27" s="7" t="str">
        <f t="shared" si="4"/>
        <v>O (Outstanding)</v>
      </c>
    </row>
    <row r="28" spans="1:12" ht="13.2" x14ac:dyDescent="0.25">
      <c r="A28" s="3">
        <v>2329</v>
      </c>
      <c r="B28" s="4">
        <v>24.5</v>
      </c>
      <c r="C28" s="5">
        <v>27</v>
      </c>
      <c r="D28" s="3">
        <f t="shared" si="5"/>
        <v>51.5</v>
      </c>
      <c r="E28" s="4">
        <f t="shared" ref="E28:F28" si="57">ROUND( (B28 / 30) * 20, 2 )</f>
        <v>16.329999999999998</v>
      </c>
      <c r="F28" s="4">
        <f t="shared" si="57"/>
        <v>18</v>
      </c>
      <c r="G28" s="4">
        <f t="shared" si="7"/>
        <v>34.33</v>
      </c>
      <c r="H28" s="4">
        <f t="shared" ref="H28:I28" si="58">SUM(B28,E28)</f>
        <v>40.83</v>
      </c>
      <c r="I28" s="5">
        <f t="shared" si="58"/>
        <v>45</v>
      </c>
      <c r="J28" s="4">
        <f t="shared" si="2"/>
        <v>85.83</v>
      </c>
      <c r="K28" s="6">
        <f t="shared" si="3"/>
        <v>85.83</v>
      </c>
      <c r="L28" s="7" t="str">
        <f t="shared" si="4"/>
        <v>O (Outstanding)</v>
      </c>
    </row>
    <row r="29" spans="1:12" ht="13.2" x14ac:dyDescent="0.25">
      <c r="A29" s="3">
        <v>2330</v>
      </c>
      <c r="B29" s="4">
        <v>26</v>
      </c>
      <c r="C29" s="5">
        <v>28.8</v>
      </c>
      <c r="D29" s="3">
        <f t="shared" si="5"/>
        <v>54.8</v>
      </c>
      <c r="E29" s="4">
        <f t="shared" ref="E29:F29" si="59">ROUND( (B29 / 30) * 20, 2 )</f>
        <v>17.329999999999998</v>
      </c>
      <c r="F29" s="4">
        <f t="shared" si="59"/>
        <v>19.2</v>
      </c>
      <c r="G29" s="4">
        <f t="shared" si="7"/>
        <v>36.53</v>
      </c>
      <c r="H29" s="4">
        <f t="shared" ref="H29:I29" si="60">SUM(B29,E29)</f>
        <v>43.33</v>
      </c>
      <c r="I29" s="5">
        <f t="shared" si="60"/>
        <v>48</v>
      </c>
      <c r="J29" s="4">
        <f t="shared" si="2"/>
        <v>91.33</v>
      </c>
      <c r="K29" s="6">
        <f t="shared" si="3"/>
        <v>91.33</v>
      </c>
      <c r="L29" s="7" t="str">
        <f t="shared" si="4"/>
        <v>O (Outstanding)</v>
      </c>
    </row>
    <row r="30" spans="1:12" ht="13.2" x14ac:dyDescent="0.25">
      <c r="A30" s="3">
        <v>2332</v>
      </c>
      <c r="B30" s="4">
        <v>19</v>
      </c>
      <c r="C30" s="5">
        <v>24.6</v>
      </c>
      <c r="D30" s="3">
        <f t="shared" si="5"/>
        <v>43.6</v>
      </c>
      <c r="E30" s="4">
        <f t="shared" ref="E30:F30" si="61">ROUND( (B30 / 30) * 20, 2 )</f>
        <v>12.67</v>
      </c>
      <c r="F30" s="4">
        <f t="shared" si="61"/>
        <v>16.399999999999999</v>
      </c>
      <c r="G30" s="4">
        <f t="shared" si="7"/>
        <v>29.07</v>
      </c>
      <c r="H30" s="4">
        <f t="shared" ref="H30:I30" si="62">SUM(B30,E30)</f>
        <v>31.67</v>
      </c>
      <c r="I30" s="5">
        <f t="shared" si="62"/>
        <v>41</v>
      </c>
      <c r="J30" s="4">
        <f t="shared" si="2"/>
        <v>72.67</v>
      </c>
      <c r="K30" s="6">
        <f t="shared" si="3"/>
        <v>72.67</v>
      </c>
      <c r="L30" s="7" t="str">
        <f t="shared" si="4"/>
        <v>A (Very Good)</v>
      </c>
    </row>
    <row r="31" spans="1:12" ht="13.2" x14ac:dyDescent="0.25">
      <c r="A31" s="3">
        <v>2333</v>
      </c>
      <c r="B31" s="4">
        <v>24.5</v>
      </c>
      <c r="C31" s="5">
        <v>27</v>
      </c>
      <c r="D31" s="3">
        <f t="shared" si="5"/>
        <v>51.5</v>
      </c>
      <c r="E31" s="4">
        <f t="shared" ref="E31:F31" si="63">ROUND( (B31 / 30) * 20, 2 )</f>
        <v>16.329999999999998</v>
      </c>
      <c r="F31" s="4">
        <f t="shared" si="63"/>
        <v>18</v>
      </c>
      <c r="G31" s="4">
        <f t="shared" si="7"/>
        <v>34.33</v>
      </c>
      <c r="H31" s="4">
        <f t="shared" ref="H31:I31" si="64">SUM(B31,E31)</f>
        <v>40.83</v>
      </c>
      <c r="I31" s="5">
        <f t="shared" si="64"/>
        <v>45</v>
      </c>
      <c r="J31" s="4">
        <f t="shared" si="2"/>
        <v>85.83</v>
      </c>
      <c r="K31" s="6">
        <f t="shared" si="3"/>
        <v>85.83</v>
      </c>
      <c r="L31" s="7" t="str">
        <f t="shared" si="4"/>
        <v>O (Outstanding)</v>
      </c>
    </row>
    <row r="32" spans="1:12" ht="13.2" x14ac:dyDescent="0.25">
      <c r="K32" s="7"/>
      <c r="L32" s="7"/>
    </row>
  </sheetData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Coutinho</dc:creator>
  <cp:lastModifiedBy>samantha Coutinho</cp:lastModifiedBy>
  <dcterms:created xsi:type="dcterms:W3CDTF">2025-11-18T06:24:16Z</dcterms:created>
  <dcterms:modified xsi:type="dcterms:W3CDTF">2025-11-18T06:24:16Z</dcterms:modified>
</cp:coreProperties>
</file>