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an\OneDrive\Desktop\2324_Data_Science_Toolkit_SEA\"/>
    </mc:Choice>
  </mc:AlternateContent>
  <xr:revisionPtr revIDLastSave="0" documentId="8_{CE91DC3F-70A5-4EEB-A512-B7D341686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G31" i="1"/>
  <c r="H31" i="1" s="1"/>
  <c r="F31" i="1"/>
  <c r="E31" i="1"/>
  <c r="G30" i="1"/>
  <c r="J30" i="1" s="1"/>
  <c r="F30" i="1"/>
  <c r="I30" i="1" s="1"/>
  <c r="K30" i="1" s="1"/>
  <c r="E30" i="1"/>
  <c r="J29" i="1"/>
  <c r="I29" i="1"/>
  <c r="K29" i="1" s="1"/>
  <c r="G29" i="1"/>
  <c r="H29" i="1" s="1"/>
  <c r="F29" i="1"/>
  <c r="E29" i="1"/>
  <c r="G28" i="1"/>
  <c r="J28" i="1" s="1"/>
  <c r="F28" i="1"/>
  <c r="I28" i="1" s="1"/>
  <c r="K28" i="1" s="1"/>
  <c r="E28" i="1"/>
  <c r="I27" i="1"/>
  <c r="H27" i="1"/>
  <c r="G27" i="1"/>
  <c r="J27" i="1" s="1"/>
  <c r="K27" i="1" s="1"/>
  <c r="F27" i="1"/>
  <c r="E27" i="1"/>
  <c r="I26" i="1"/>
  <c r="G26" i="1"/>
  <c r="H26" i="1" s="1"/>
  <c r="F26" i="1"/>
  <c r="E26" i="1"/>
  <c r="I25" i="1"/>
  <c r="G25" i="1"/>
  <c r="J25" i="1" s="1"/>
  <c r="F25" i="1"/>
  <c r="H25" i="1" s="1"/>
  <c r="E25" i="1"/>
  <c r="J24" i="1"/>
  <c r="I24" i="1"/>
  <c r="K24" i="1" s="1"/>
  <c r="G24" i="1"/>
  <c r="F24" i="1"/>
  <c r="H24" i="1" s="1"/>
  <c r="E24" i="1"/>
  <c r="G23" i="1"/>
  <c r="J23" i="1" s="1"/>
  <c r="F23" i="1"/>
  <c r="I23" i="1" s="1"/>
  <c r="K23" i="1" s="1"/>
  <c r="E23" i="1"/>
  <c r="K22" i="1"/>
  <c r="M22" i="1" s="1"/>
  <c r="J22" i="1"/>
  <c r="I22" i="1"/>
  <c r="H22" i="1"/>
  <c r="G22" i="1"/>
  <c r="F22" i="1"/>
  <c r="E22" i="1"/>
  <c r="G21" i="1"/>
  <c r="J21" i="1" s="1"/>
  <c r="F21" i="1"/>
  <c r="H21" i="1" s="1"/>
  <c r="E21" i="1"/>
  <c r="J20" i="1"/>
  <c r="G20" i="1"/>
  <c r="F20" i="1"/>
  <c r="I20" i="1" s="1"/>
  <c r="K20" i="1" s="1"/>
  <c r="E20" i="1"/>
  <c r="G19" i="1"/>
  <c r="J19" i="1" s="1"/>
  <c r="F19" i="1"/>
  <c r="H19" i="1" s="1"/>
  <c r="E19" i="1"/>
  <c r="J18" i="1"/>
  <c r="H18" i="1"/>
  <c r="G18" i="1"/>
  <c r="F18" i="1"/>
  <c r="I18" i="1" s="1"/>
  <c r="K18" i="1" s="1"/>
  <c r="E18" i="1"/>
  <c r="J17" i="1"/>
  <c r="I17" i="1"/>
  <c r="K17" i="1" s="1"/>
  <c r="H17" i="1"/>
  <c r="G17" i="1"/>
  <c r="F17" i="1"/>
  <c r="E17" i="1"/>
  <c r="J16" i="1"/>
  <c r="H16" i="1"/>
  <c r="G16" i="1"/>
  <c r="F16" i="1"/>
  <c r="I16" i="1" s="1"/>
  <c r="K16" i="1" s="1"/>
  <c r="E16" i="1"/>
  <c r="J15" i="1"/>
  <c r="K15" i="1" s="1"/>
  <c r="I15" i="1"/>
  <c r="G15" i="1"/>
  <c r="H15" i="1" s="1"/>
  <c r="F15" i="1"/>
  <c r="E15" i="1"/>
  <c r="G14" i="1"/>
  <c r="J14" i="1" s="1"/>
  <c r="F14" i="1"/>
  <c r="I14" i="1" s="1"/>
  <c r="K14" i="1" s="1"/>
  <c r="E14" i="1"/>
  <c r="J13" i="1"/>
  <c r="I13" i="1"/>
  <c r="K13" i="1" s="1"/>
  <c r="G13" i="1"/>
  <c r="F13" i="1"/>
  <c r="H13" i="1" s="1"/>
  <c r="E13" i="1"/>
  <c r="G12" i="1"/>
  <c r="J12" i="1" s="1"/>
  <c r="F12" i="1"/>
  <c r="I12" i="1" s="1"/>
  <c r="K12" i="1" s="1"/>
  <c r="E12" i="1"/>
  <c r="I11" i="1"/>
  <c r="G11" i="1"/>
  <c r="J11" i="1" s="1"/>
  <c r="K11" i="1" s="1"/>
  <c r="F11" i="1"/>
  <c r="E11" i="1"/>
  <c r="I10" i="1"/>
  <c r="G10" i="1"/>
  <c r="J10" i="1" s="1"/>
  <c r="F10" i="1"/>
  <c r="E10" i="1"/>
  <c r="I9" i="1"/>
  <c r="K9" i="1" s="1"/>
  <c r="G9" i="1"/>
  <c r="J9" i="1" s="1"/>
  <c r="F9" i="1"/>
  <c r="H9" i="1" s="1"/>
  <c r="E9" i="1"/>
  <c r="J8" i="1"/>
  <c r="I8" i="1"/>
  <c r="K8" i="1" s="1"/>
  <c r="G8" i="1"/>
  <c r="F8" i="1"/>
  <c r="H8" i="1" s="1"/>
  <c r="E8" i="1"/>
  <c r="G7" i="1"/>
  <c r="J7" i="1" s="1"/>
  <c r="F7" i="1"/>
  <c r="I7" i="1" s="1"/>
  <c r="K7" i="1" s="1"/>
  <c r="E7" i="1"/>
  <c r="K6" i="1"/>
  <c r="L6" i="1" s="1"/>
  <c r="J6" i="1"/>
  <c r="I6" i="1"/>
  <c r="H6" i="1"/>
  <c r="G6" i="1"/>
  <c r="F6" i="1"/>
  <c r="E6" i="1"/>
  <c r="G5" i="1"/>
  <c r="J5" i="1" s="1"/>
  <c r="F5" i="1"/>
  <c r="I5" i="1" s="1"/>
  <c r="K5" i="1" s="1"/>
  <c r="E5" i="1"/>
  <c r="J4" i="1"/>
  <c r="G4" i="1"/>
  <c r="F4" i="1"/>
  <c r="I4" i="1" s="1"/>
  <c r="K4" i="1" s="1"/>
  <c r="E4" i="1"/>
  <c r="G3" i="1"/>
  <c r="J3" i="1" s="1"/>
  <c r="F3" i="1"/>
  <c r="I3" i="1" s="1"/>
  <c r="K3" i="1" s="1"/>
  <c r="E3" i="1"/>
  <c r="G2" i="1"/>
  <c r="J2" i="1" s="1"/>
  <c r="F2" i="1"/>
  <c r="I2" i="1" s="1"/>
  <c r="E2" i="1"/>
  <c r="M9" i="1" l="1"/>
  <c r="L9" i="1"/>
  <c r="L24" i="1"/>
  <c r="M24" i="1"/>
  <c r="K2" i="1"/>
  <c r="M17" i="1"/>
  <c r="L17" i="1"/>
  <c r="K10" i="1"/>
  <c r="M30" i="1"/>
  <c r="L30" i="1"/>
  <c r="M12" i="1"/>
  <c r="L12" i="1"/>
  <c r="M5" i="1"/>
  <c r="L5" i="1"/>
  <c r="M27" i="1"/>
  <c r="L27" i="1"/>
  <c r="L13" i="1"/>
  <c r="M13" i="1"/>
  <c r="M28" i="1"/>
  <c r="L28" i="1"/>
  <c r="M14" i="1"/>
  <c r="L14" i="1"/>
  <c r="M3" i="1"/>
  <c r="L3" i="1"/>
  <c r="M18" i="1"/>
  <c r="L18" i="1"/>
  <c r="K25" i="1"/>
  <c r="M29" i="1"/>
  <c r="L29" i="1"/>
  <c r="M7" i="1"/>
  <c r="L7" i="1"/>
  <c r="M11" i="1"/>
  <c r="L11" i="1"/>
  <c r="L4" i="1"/>
  <c r="M4" i="1"/>
  <c r="L15" i="1"/>
  <c r="M15" i="1"/>
  <c r="K26" i="1"/>
  <c r="M16" i="1"/>
  <c r="L16" i="1"/>
  <c r="L8" i="1"/>
  <c r="M8" i="1"/>
  <c r="M23" i="1"/>
  <c r="L23" i="1"/>
  <c r="L20" i="1"/>
  <c r="M20" i="1"/>
  <c r="H12" i="1"/>
  <c r="I19" i="1"/>
  <c r="K19" i="1" s="1"/>
  <c r="J26" i="1"/>
  <c r="H5" i="1"/>
  <c r="H14" i="1"/>
  <c r="I21" i="1"/>
  <c r="K21" i="1" s="1"/>
  <c r="H30" i="1"/>
  <c r="M6" i="1"/>
  <c r="H28" i="1"/>
  <c r="H7" i="1"/>
  <c r="H23" i="1"/>
  <c r="H10" i="1"/>
  <c r="J31" i="1"/>
  <c r="K31" i="1" s="1"/>
  <c r="L22" i="1"/>
  <c r="H3" i="1"/>
  <c r="H2" i="1"/>
  <c r="H11" i="1"/>
  <c r="H4" i="1"/>
  <c r="H20" i="1"/>
  <c r="M19" i="1" l="1"/>
  <c r="L19" i="1"/>
  <c r="M31" i="1"/>
  <c r="L31" i="1"/>
  <c r="M10" i="1"/>
  <c r="L10" i="1"/>
  <c r="M2" i="1"/>
  <c r="L2" i="1"/>
  <c r="M25" i="1"/>
  <c r="L25" i="1"/>
  <c r="M26" i="1"/>
  <c r="L26" i="1"/>
  <c r="M21" i="1"/>
  <c r="L21" i="1"/>
</calcChain>
</file>

<file path=xl/sharedStrings.xml><?xml version="1.0" encoding="utf-8"?>
<sst xmlns="http://schemas.openxmlformats.org/spreadsheetml/2006/main" count="12" uniqueCount="12">
  <si>
    <t>Roll.No</t>
  </si>
  <si>
    <t>ISA Theory (30)</t>
  </si>
  <si>
    <t>ISA Lab (30)</t>
  </si>
  <si>
    <t>Total ISA (60)</t>
  </si>
  <si>
    <t>SEA Theory (20)</t>
  </si>
  <si>
    <t>SEA Lab (20)</t>
  </si>
  <si>
    <t>Total SEA (40)</t>
  </si>
  <si>
    <t>Total Theory (50)</t>
  </si>
  <si>
    <t>Total Lab (50)</t>
  </si>
  <si>
    <t>Final Marks (100)</t>
  </si>
  <si>
    <t>Percentage</t>
  </si>
  <si>
    <t xml:space="preserve">Grade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</si>
</sst>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ol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2"/>
  <sheetViews>
    <sheetView tabSelected="1"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 x14ac:dyDescent="0.25"/>
  <cols>
    <col min="9" max="9" width="13.88671875" customWidth="1"/>
    <col min="11" max="11" width="15.44140625" customWidth="1"/>
    <col min="12" max="13" width="14.44140625" customWidth="1"/>
  </cols>
  <sheetData>
    <row r="1" spans="1:15" ht="15.75" customHeight="1" x14ac:dyDescent="0.3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</row>
    <row r="2" spans="1:15" x14ac:dyDescent="0.25">
      <c r="A2" s="3">
        <v>2301</v>
      </c>
      <c r="C2" s="4">
        <v>29.5</v>
      </c>
      <c r="D2" s="5">
        <v>30</v>
      </c>
      <c r="E2" s="3">
        <f>SUM(C2,D2)</f>
        <v>59.5</v>
      </c>
      <c r="F2" s="4">
        <f t="shared" ref="F2:G2" si="0">ROUND( (C2 / 30) * 20, 2 )</f>
        <v>19.670000000000002</v>
      </c>
      <c r="G2" s="4">
        <f t="shared" si="0"/>
        <v>20</v>
      </c>
      <c r="H2" s="4">
        <f>SUM(F2,G2)</f>
        <v>39.67</v>
      </c>
      <c r="I2" s="4">
        <f t="shared" ref="I2:J2" si="1">SUM(C2,F2)</f>
        <v>49.17</v>
      </c>
      <c r="J2" s="5">
        <f t="shared" si="1"/>
        <v>50</v>
      </c>
      <c r="K2" s="4">
        <f t="shared" ref="K2:K31" si="2">SUM(I2,J2)</f>
        <v>99.17</v>
      </c>
      <c r="L2" s="6">
        <f t="shared" ref="L2:L31" si="3">ROUND((K2/100)*100, 2)</f>
        <v>99.17</v>
      </c>
      <c r="M2" s="7" t="str">
        <f t="shared" ref="M2:M31" si="4">IF(K2&gt;=85,"O (Outstanding)",
IF(K2&gt;=75,"A+ (Excellent)",
IF(K2&gt;=65,"A (Very Good)",
IF(K2&gt;=55,"B+ (Good)",
IF(K2&gt;=50,"B (Above Average)",
IF(K2&gt;=45,"C (Average)",
IF(K2&gt;=40,"P (Pass)","F (Fail)")))))))</f>
        <v>O (Outstanding)</v>
      </c>
    </row>
    <row r="3" spans="1:15" x14ac:dyDescent="0.25">
      <c r="A3" s="3">
        <v>2302</v>
      </c>
      <c r="C3" s="4">
        <v>27</v>
      </c>
      <c r="D3" s="5">
        <v>29.4</v>
      </c>
      <c r="E3" s="3">
        <f t="shared" ref="E3:E31" si="5">SUM(C3:D3)</f>
        <v>56.4</v>
      </c>
      <c r="F3" s="4">
        <f t="shared" ref="F3:G3" si="6">ROUND( (C3 / 30) * 20, 2 )</f>
        <v>18</v>
      </c>
      <c r="G3" s="4">
        <f t="shared" si="6"/>
        <v>19.600000000000001</v>
      </c>
      <c r="H3" s="4">
        <f t="shared" ref="H3:H31" si="7">SUM(F3:G3)</f>
        <v>37.6</v>
      </c>
      <c r="I3" s="4">
        <f t="shared" ref="I3:J3" si="8">SUM(C3,F3)</f>
        <v>45</v>
      </c>
      <c r="J3" s="5">
        <f t="shared" si="8"/>
        <v>49</v>
      </c>
      <c r="K3" s="4">
        <f t="shared" si="2"/>
        <v>94</v>
      </c>
      <c r="L3" s="6">
        <f t="shared" si="3"/>
        <v>94</v>
      </c>
      <c r="M3" s="7" t="str">
        <f t="shared" si="4"/>
        <v>O (Outstanding)</v>
      </c>
    </row>
    <row r="4" spans="1:15" x14ac:dyDescent="0.25">
      <c r="A4" s="3">
        <v>2303</v>
      </c>
      <c r="C4" s="4">
        <v>28</v>
      </c>
      <c r="D4" s="5">
        <v>30</v>
      </c>
      <c r="E4" s="3">
        <f t="shared" si="5"/>
        <v>58</v>
      </c>
      <c r="F4" s="4">
        <f t="shared" ref="F4:G4" si="9">ROUND( (C4 / 30) * 20, 2 )</f>
        <v>18.670000000000002</v>
      </c>
      <c r="G4" s="4">
        <f t="shared" si="9"/>
        <v>20</v>
      </c>
      <c r="H4" s="4">
        <f t="shared" si="7"/>
        <v>38.67</v>
      </c>
      <c r="I4" s="4">
        <f t="shared" ref="I4:J4" si="10">SUM(C4,F4)</f>
        <v>46.67</v>
      </c>
      <c r="J4" s="5">
        <f t="shared" si="10"/>
        <v>50</v>
      </c>
      <c r="K4" s="4">
        <f t="shared" si="2"/>
        <v>96.67</v>
      </c>
      <c r="L4" s="6">
        <f t="shared" si="3"/>
        <v>96.67</v>
      </c>
      <c r="M4" s="7" t="str">
        <f t="shared" si="4"/>
        <v>O (Outstanding)</v>
      </c>
    </row>
    <row r="5" spans="1:15" x14ac:dyDescent="0.25">
      <c r="A5" s="3">
        <v>2304</v>
      </c>
      <c r="C5" s="4">
        <v>26</v>
      </c>
      <c r="D5" s="5">
        <v>28.8</v>
      </c>
      <c r="E5" s="3">
        <f t="shared" si="5"/>
        <v>54.8</v>
      </c>
      <c r="F5" s="4">
        <f t="shared" ref="F5:G5" si="11">ROUND( (C5 / 30) * 20, 2 )</f>
        <v>17.329999999999998</v>
      </c>
      <c r="G5" s="4">
        <f t="shared" si="11"/>
        <v>19.2</v>
      </c>
      <c r="H5" s="4">
        <f t="shared" si="7"/>
        <v>36.53</v>
      </c>
      <c r="I5" s="4">
        <f t="shared" ref="I5:J5" si="12">SUM(C5,F5)</f>
        <v>43.33</v>
      </c>
      <c r="J5" s="5">
        <f t="shared" si="12"/>
        <v>48</v>
      </c>
      <c r="K5" s="4">
        <f t="shared" si="2"/>
        <v>91.33</v>
      </c>
      <c r="L5" s="6">
        <f t="shared" si="3"/>
        <v>91.33</v>
      </c>
      <c r="M5" s="7" t="str">
        <f t="shared" si="4"/>
        <v>O (Outstanding)</v>
      </c>
    </row>
    <row r="6" spans="1:15" x14ac:dyDescent="0.25">
      <c r="A6" s="3">
        <v>2305</v>
      </c>
      <c r="C6" s="4">
        <v>27.5</v>
      </c>
      <c r="D6" s="5">
        <v>30</v>
      </c>
      <c r="E6" s="3">
        <f t="shared" si="5"/>
        <v>57.5</v>
      </c>
      <c r="F6" s="4">
        <f t="shared" ref="F6:G6" si="13">ROUND( (C6 / 30) * 20, 2 )</f>
        <v>18.329999999999998</v>
      </c>
      <c r="G6" s="4">
        <f t="shared" si="13"/>
        <v>20</v>
      </c>
      <c r="H6" s="4">
        <f t="shared" si="7"/>
        <v>38.33</v>
      </c>
      <c r="I6" s="4">
        <f t="shared" ref="I6:J6" si="14">SUM(C6,F6)</f>
        <v>45.83</v>
      </c>
      <c r="J6" s="5">
        <f t="shared" si="14"/>
        <v>50</v>
      </c>
      <c r="K6" s="4">
        <f t="shared" si="2"/>
        <v>95.83</v>
      </c>
      <c r="L6" s="6">
        <f t="shared" si="3"/>
        <v>95.83</v>
      </c>
      <c r="M6" s="7" t="str">
        <f t="shared" si="4"/>
        <v>O (Outstanding)</v>
      </c>
      <c r="O6" s="4"/>
    </row>
    <row r="7" spans="1:15" x14ac:dyDescent="0.25">
      <c r="A7" s="3">
        <v>2306</v>
      </c>
      <c r="C7" s="4">
        <v>27.5</v>
      </c>
      <c r="D7" s="5">
        <v>27.6</v>
      </c>
      <c r="E7" s="3">
        <f t="shared" si="5"/>
        <v>55.1</v>
      </c>
      <c r="F7" s="4">
        <f t="shared" ref="F7:G7" si="15">ROUND( (C7 / 30) * 20, 2 )</f>
        <v>18.329999999999998</v>
      </c>
      <c r="G7" s="4">
        <f t="shared" si="15"/>
        <v>18.399999999999999</v>
      </c>
      <c r="H7" s="4">
        <f t="shared" si="7"/>
        <v>36.729999999999997</v>
      </c>
      <c r="I7" s="4">
        <f t="shared" ref="I7:J7" si="16">SUM(C7,F7)</f>
        <v>45.83</v>
      </c>
      <c r="J7" s="5">
        <f t="shared" si="16"/>
        <v>46</v>
      </c>
      <c r="K7" s="4">
        <f t="shared" si="2"/>
        <v>91.83</v>
      </c>
      <c r="L7" s="6">
        <f t="shared" si="3"/>
        <v>91.83</v>
      </c>
      <c r="M7" s="7" t="str">
        <f t="shared" si="4"/>
        <v>O (Outstanding)</v>
      </c>
    </row>
    <row r="8" spans="1:15" x14ac:dyDescent="0.25">
      <c r="A8" s="3">
        <v>2308</v>
      </c>
      <c r="C8" s="4">
        <v>25.5</v>
      </c>
      <c r="D8" s="5">
        <v>25.2</v>
      </c>
      <c r="E8" s="3">
        <f t="shared" si="5"/>
        <v>50.7</v>
      </c>
      <c r="F8" s="4">
        <f t="shared" ref="F8:G8" si="17">ROUND( (C8 / 30) * 20, 2 )</f>
        <v>17</v>
      </c>
      <c r="G8" s="4">
        <f t="shared" si="17"/>
        <v>16.8</v>
      </c>
      <c r="H8" s="4">
        <f t="shared" si="7"/>
        <v>33.799999999999997</v>
      </c>
      <c r="I8" s="4">
        <f t="shared" ref="I8:J8" si="18">SUM(C8,F8)</f>
        <v>42.5</v>
      </c>
      <c r="J8" s="5">
        <f t="shared" si="18"/>
        <v>42</v>
      </c>
      <c r="K8" s="4">
        <f t="shared" si="2"/>
        <v>84.5</v>
      </c>
      <c r="L8" s="6">
        <f t="shared" si="3"/>
        <v>84.5</v>
      </c>
      <c r="M8" s="7" t="str">
        <f t="shared" si="4"/>
        <v>A+ (Excellent)</v>
      </c>
    </row>
    <row r="9" spans="1:15" x14ac:dyDescent="0.25">
      <c r="A9" s="3">
        <v>2309</v>
      </c>
      <c r="C9" s="4">
        <v>28</v>
      </c>
      <c r="D9" s="5">
        <v>27.6</v>
      </c>
      <c r="E9" s="3">
        <f t="shared" si="5"/>
        <v>55.6</v>
      </c>
      <c r="F9" s="4">
        <f t="shared" ref="F9:G9" si="19">ROUND( (C9 / 30) * 20, 2 )</f>
        <v>18.670000000000002</v>
      </c>
      <c r="G9" s="4">
        <f t="shared" si="19"/>
        <v>18.399999999999999</v>
      </c>
      <c r="H9" s="4">
        <f t="shared" si="7"/>
        <v>37.07</v>
      </c>
      <c r="I9" s="4">
        <f t="shared" ref="I9:J9" si="20">SUM(C9,F9)</f>
        <v>46.67</v>
      </c>
      <c r="J9" s="5">
        <f t="shared" si="20"/>
        <v>46</v>
      </c>
      <c r="K9" s="4">
        <f t="shared" si="2"/>
        <v>92.67</v>
      </c>
      <c r="L9" s="6">
        <f t="shared" si="3"/>
        <v>92.67</v>
      </c>
      <c r="M9" s="7" t="str">
        <f t="shared" si="4"/>
        <v>O (Outstanding)</v>
      </c>
    </row>
    <row r="10" spans="1:15" x14ac:dyDescent="0.25">
      <c r="A10" s="3">
        <v>2310</v>
      </c>
      <c r="C10" s="4">
        <v>25.5</v>
      </c>
      <c r="D10" s="5">
        <v>30</v>
      </c>
      <c r="E10" s="3">
        <f t="shared" si="5"/>
        <v>55.5</v>
      </c>
      <c r="F10" s="4">
        <f t="shared" ref="F10:G10" si="21">ROUND( (C10 / 30) * 20, 2 )</f>
        <v>17</v>
      </c>
      <c r="G10" s="4">
        <f t="shared" si="21"/>
        <v>20</v>
      </c>
      <c r="H10" s="4">
        <f t="shared" si="7"/>
        <v>37</v>
      </c>
      <c r="I10" s="4">
        <f t="shared" ref="I10:J10" si="22">SUM(C10,F10)</f>
        <v>42.5</v>
      </c>
      <c r="J10" s="5">
        <f t="shared" si="22"/>
        <v>50</v>
      </c>
      <c r="K10" s="4">
        <f t="shared" si="2"/>
        <v>92.5</v>
      </c>
      <c r="L10" s="6">
        <f t="shared" si="3"/>
        <v>92.5</v>
      </c>
      <c r="M10" s="7" t="str">
        <f t="shared" si="4"/>
        <v>O (Outstanding)</v>
      </c>
    </row>
    <row r="11" spans="1:15" x14ac:dyDescent="0.25">
      <c r="A11" s="3">
        <v>2312</v>
      </c>
      <c r="C11" s="4">
        <v>26</v>
      </c>
      <c r="D11" s="5">
        <v>25.8</v>
      </c>
      <c r="E11" s="3">
        <f t="shared" si="5"/>
        <v>51.8</v>
      </c>
      <c r="F11" s="4">
        <f t="shared" ref="F11:G11" si="23">ROUND( (C11 / 30) * 20, 2 )</f>
        <v>17.329999999999998</v>
      </c>
      <c r="G11" s="4">
        <f t="shared" si="23"/>
        <v>17.2</v>
      </c>
      <c r="H11" s="4">
        <f t="shared" si="7"/>
        <v>34.53</v>
      </c>
      <c r="I11" s="4">
        <f t="shared" ref="I11:J11" si="24">SUM(C11,F11)</f>
        <v>43.33</v>
      </c>
      <c r="J11" s="5">
        <f t="shared" si="24"/>
        <v>43</v>
      </c>
      <c r="K11" s="4">
        <f t="shared" si="2"/>
        <v>86.33</v>
      </c>
      <c r="L11" s="6">
        <f t="shared" si="3"/>
        <v>86.33</v>
      </c>
      <c r="M11" s="7" t="str">
        <f t="shared" si="4"/>
        <v>O (Outstanding)</v>
      </c>
    </row>
    <row r="12" spans="1:15" x14ac:dyDescent="0.25">
      <c r="A12" s="3">
        <v>2313</v>
      </c>
      <c r="C12" s="4">
        <v>25.5</v>
      </c>
      <c r="D12" s="5">
        <v>28.8</v>
      </c>
      <c r="E12" s="3">
        <f t="shared" si="5"/>
        <v>54.3</v>
      </c>
      <c r="F12" s="4">
        <f t="shared" ref="F12:G12" si="25">ROUND( (C12 / 30) * 20, 2 )</f>
        <v>17</v>
      </c>
      <c r="G12" s="4">
        <f t="shared" si="25"/>
        <v>19.2</v>
      </c>
      <c r="H12" s="4">
        <f t="shared" si="7"/>
        <v>36.200000000000003</v>
      </c>
      <c r="I12" s="4">
        <f t="shared" ref="I12:J12" si="26">SUM(C12,F12)</f>
        <v>42.5</v>
      </c>
      <c r="J12" s="5">
        <f t="shared" si="26"/>
        <v>48</v>
      </c>
      <c r="K12" s="4">
        <f t="shared" si="2"/>
        <v>90.5</v>
      </c>
      <c r="L12" s="6">
        <f t="shared" si="3"/>
        <v>90.5</v>
      </c>
      <c r="M12" s="7" t="str">
        <f t="shared" si="4"/>
        <v>O (Outstanding)</v>
      </c>
    </row>
    <row r="13" spans="1:15" x14ac:dyDescent="0.25">
      <c r="A13" s="3">
        <v>2314</v>
      </c>
      <c r="C13" s="4">
        <v>23</v>
      </c>
      <c r="D13" s="5">
        <v>25.8</v>
      </c>
      <c r="E13" s="3">
        <f t="shared" si="5"/>
        <v>48.8</v>
      </c>
      <c r="F13" s="4">
        <f t="shared" ref="F13:G13" si="27">ROUND( (C13 / 30) * 20, 2 )</f>
        <v>15.33</v>
      </c>
      <c r="G13" s="4">
        <f t="shared" si="27"/>
        <v>17.2</v>
      </c>
      <c r="H13" s="4">
        <f t="shared" si="7"/>
        <v>32.53</v>
      </c>
      <c r="I13" s="4">
        <f t="shared" ref="I13:J13" si="28">SUM(C13,F13)</f>
        <v>38.33</v>
      </c>
      <c r="J13" s="5">
        <f t="shared" si="28"/>
        <v>43</v>
      </c>
      <c r="K13" s="4">
        <f t="shared" si="2"/>
        <v>81.33</v>
      </c>
      <c r="L13" s="6">
        <f t="shared" si="3"/>
        <v>81.33</v>
      </c>
      <c r="M13" s="7" t="str">
        <f t="shared" si="4"/>
        <v>A+ (Excellent)</v>
      </c>
    </row>
    <row r="14" spans="1:15" x14ac:dyDescent="0.25">
      <c r="A14" s="3">
        <v>2315</v>
      </c>
      <c r="C14" s="4">
        <v>23.5</v>
      </c>
      <c r="D14" s="5">
        <v>24.6</v>
      </c>
      <c r="E14" s="3">
        <f t="shared" si="5"/>
        <v>48.1</v>
      </c>
      <c r="F14" s="4">
        <f t="shared" ref="F14:G14" si="29">ROUND( (C14 / 30) * 20, 2 )</f>
        <v>15.67</v>
      </c>
      <c r="G14" s="4">
        <f t="shared" si="29"/>
        <v>16.399999999999999</v>
      </c>
      <c r="H14" s="4">
        <f t="shared" si="7"/>
        <v>32.07</v>
      </c>
      <c r="I14" s="4">
        <f t="shared" ref="I14:J14" si="30">SUM(C14,F14)</f>
        <v>39.17</v>
      </c>
      <c r="J14" s="5">
        <f t="shared" si="30"/>
        <v>41</v>
      </c>
      <c r="K14" s="4">
        <f t="shared" si="2"/>
        <v>80.17</v>
      </c>
      <c r="L14" s="6">
        <f t="shared" si="3"/>
        <v>80.17</v>
      </c>
      <c r="M14" s="7" t="str">
        <f t="shared" si="4"/>
        <v>A+ (Excellent)</v>
      </c>
    </row>
    <row r="15" spans="1:15" x14ac:dyDescent="0.25">
      <c r="A15" s="3">
        <v>2316</v>
      </c>
      <c r="C15" s="4">
        <v>27.5</v>
      </c>
      <c r="D15" s="5">
        <v>28.8</v>
      </c>
      <c r="E15" s="3">
        <f t="shared" si="5"/>
        <v>56.3</v>
      </c>
      <c r="F15" s="4">
        <f t="shared" ref="F15:G15" si="31">ROUND( (C15 / 30) * 20, 2 )</f>
        <v>18.329999999999998</v>
      </c>
      <c r="G15" s="4">
        <f t="shared" si="31"/>
        <v>19.2</v>
      </c>
      <c r="H15" s="4">
        <f t="shared" si="7"/>
        <v>37.53</v>
      </c>
      <c r="I15" s="4">
        <f t="shared" ref="I15:J15" si="32">SUM(C15,F15)</f>
        <v>45.83</v>
      </c>
      <c r="J15" s="5">
        <f t="shared" si="32"/>
        <v>48</v>
      </c>
      <c r="K15" s="4">
        <f t="shared" si="2"/>
        <v>93.83</v>
      </c>
      <c r="L15" s="6">
        <f t="shared" si="3"/>
        <v>93.83</v>
      </c>
      <c r="M15" s="7" t="str">
        <f t="shared" si="4"/>
        <v>O (Outstanding)</v>
      </c>
    </row>
    <row r="16" spans="1:15" x14ac:dyDescent="0.25">
      <c r="A16" s="3">
        <v>2317</v>
      </c>
      <c r="C16" s="4">
        <v>25.5</v>
      </c>
      <c r="D16" s="5">
        <v>29.4</v>
      </c>
      <c r="E16" s="3">
        <f t="shared" si="5"/>
        <v>54.9</v>
      </c>
      <c r="F16" s="4">
        <f t="shared" ref="F16:G16" si="33">ROUND( (C16 / 30) * 20, 2 )</f>
        <v>17</v>
      </c>
      <c r="G16" s="4">
        <f t="shared" si="33"/>
        <v>19.600000000000001</v>
      </c>
      <c r="H16" s="4">
        <f t="shared" si="7"/>
        <v>36.6</v>
      </c>
      <c r="I16" s="4">
        <f t="shared" ref="I16:J16" si="34">SUM(C16,F16)</f>
        <v>42.5</v>
      </c>
      <c r="J16" s="5">
        <f t="shared" si="34"/>
        <v>49</v>
      </c>
      <c r="K16" s="4">
        <f t="shared" si="2"/>
        <v>91.5</v>
      </c>
      <c r="L16" s="6">
        <f t="shared" si="3"/>
        <v>91.5</v>
      </c>
      <c r="M16" s="7" t="str">
        <f t="shared" si="4"/>
        <v>O (Outstanding)</v>
      </c>
    </row>
    <row r="17" spans="1:13" x14ac:dyDescent="0.25">
      <c r="A17" s="3">
        <v>2318</v>
      </c>
      <c r="C17" s="4">
        <v>28</v>
      </c>
      <c r="D17" s="5">
        <v>30</v>
      </c>
      <c r="E17" s="3">
        <f t="shared" si="5"/>
        <v>58</v>
      </c>
      <c r="F17" s="4">
        <f t="shared" ref="F17:G17" si="35">ROUND( (C17 / 30) * 20, 2 )</f>
        <v>18.670000000000002</v>
      </c>
      <c r="G17" s="4">
        <f t="shared" si="35"/>
        <v>20</v>
      </c>
      <c r="H17" s="4">
        <f t="shared" si="7"/>
        <v>38.67</v>
      </c>
      <c r="I17" s="4">
        <f t="shared" ref="I17:J17" si="36">SUM(C17,F17)</f>
        <v>46.67</v>
      </c>
      <c r="J17" s="5">
        <f t="shared" si="36"/>
        <v>50</v>
      </c>
      <c r="K17" s="4">
        <f t="shared" si="2"/>
        <v>96.67</v>
      </c>
      <c r="L17" s="6">
        <f t="shared" si="3"/>
        <v>96.67</v>
      </c>
      <c r="M17" s="7" t="str">
        <f t="shared" si="4"/>
        <v>O (Outstanding)</v>
      </c>
    </row>
    <row r="18" spans="1:13" x14ac:dyDescent="0.25">
      <c r="A18" s="3">
        <v>2319</v>
      </c>
      <c r="C18" s="4">
        <v>28.5</v>
      </c>
      <c r="D18" s="5">
        <v>30</v>
      </c>
      <c r="E18" s="3">
        <f t="shared" si="5"/>
        <v>58.5</v>
      </c>
      <c r="F18" s="4">
        <f t="shared" ref="F18:G18" si="37">ROUND( (C18 / 30) * 20, 2 )</f>
        <v>19</v>
      </c>
      <c r="G18" s="4">
        <f t="shared" si="37"/>
        <v>20</v>
      </c>
      <c r="H18" s="4">
        <f t="shared" si="7"/>
        <v>39</v>
      </c>
      <c r="I18" s="4">
        <f t="shared" ref="I18:J18" si="38">SUM(C18,F18)</f>
        <v>47.5</v>
      </c>
      <c r="J18" s="5">
        <f t="shared" si="38"/>
        <v>50</v>
      </c>
      <c r="K18" s="4">
        <f t="shared" si="2"/>
        <v>97.5</v>
      </c>
      <c r="L18" s="6">
        <f t="shared" si="3"/>
        <v>97.5</v>
      </c>
      <c r="M18" s="7" t="str">
        <f t="shared" si="4"/>
        <v>O (Outstanding)</v>
      </c>
    </row>
    <row r="19" spans="1:13" x14ac:dyDescent="0.25">
      <c r="A19" s="3">
        <v>2320</v>
      </c>
      <c r="C19" s="4">
        <v>28</v>
      </c>
      <c r="D19" s="5">
        <v>28.2</v>
      </c>
      <c r="E19" s="3">
        <f t="shared" si="5"/>
        <v>56.2</v>
      </c>
      <c r="F19" s="4">
        <f t="shared" ref="F19:G19" si="39">ROUND( (C19 / 30) * 20, 2 )</f>
        <v>18.670000000000002</v>
      </c>
      <c r="G19" s="4">
        <f t="shared" si="39"/>
        <v>18.8</v>
      </c>
      <c r="H19" s="4">
        <f t="shared" si="7"/>
        <v>37.47</v>
      </c>
      <c r="I19" s="4">
        <f t="shared" ref="I19:J19" si="40">SUM(C19,F19)</f>
        <v>46.67</v>
      </c>
      <c r="J19" s="5">
        <f t="shared" si="40"/>
        <v>47</v>
      </c>
      <c r="K19" s="4">
        <f t="shared" si="2"/>
        <v>93.67</v>
      </c>
      <c r="L19" s="6">
        <f t="shared" si="3"/>
        <v>93.67</v>
      </c>
      <c r="M19" s="7" t="str">
        <f t="shared" si="4"/>
        <v>O (Outstanding)</v>
      </c>
    </row>
    <row r="20" spans="1:13" x14ac:dyDescent="0.25">
      <c r="A20" s="3">
        <v>2321</v>
      </c>
      <c r="C20" s="4">
        <v>27</v>
      </c>
      <c r="D20" s="5">
        <v>26.4</v>
      </c>
      <c r="E20" s="3">
        <f t="shared" si="5"/>
        <v>53.4</v>
      </c>
      <c r="F20" s="4">
        <f t="shared" ref="F20:G20" si="41">ROUND( (C20 / 30) * 20, 2 )</f>
        <v>18</v>
      </c>
      <c r="G20" s="4">
        <f t="shared" si="41"/>
        <v>17.600000000000001</v>
      </c>
      <c r="H20" s="4">
        <f t="shared" si="7"/>
        <v>35.6</v>
      </c>
      <c r="I20" s="4">
        <f t="shared" ref="I20:J20" si="42">SUM(C20,F20)</f>
        <v>45</v>
      </c>
      <c r="J20" s="5">
        <f t="shared" si="42"/>
        <v>44</v>
      </c>
      <c r="K20" s="4">
        <f t="shared" si="2"/>
        <v>89</v>
      </c>
      <c r="L20" s="6">
        <f t="shared" si="3"/>
        <v>89</v>
      </c>
      <c r="M20" s="7" t="str">
        <f t="shared" si="4"/>
        <v>O (Outstanding)</v>
      </c>
    </row>
    <row r="21" spans="1:13" x14ac:dyDescent="0.25">
      <c r="A21" s="3">
        <v>2322</v>
      </c>
      <c r="C21" s="4">
        <v>27.5</v>
      </c>
      <c r="D21" s="5">
        <v>28.2</v>
      </c>
      <c r="E21" s="3">
        <f t="shared" si="5"/>
        <v>55.7</v>
      </c>
      <c r="F21" s="4">
        <f t="shared" ref="F21:G21" si="43">ROUND( (C21 / 30) * 20, 2 )</f>
        <v>18.329999999999998</v>
      </c>
      <c r="G21" s="4">
        <f t="shared" si="43"/>
        <v>18.8</v>
      </c>
      <c r="H21" s="4">
        <f t="shared" si="7"/>
        <v>37.129999999999995</v>
      </c>
      <c r="I21" s="4">
        <f t="shared" ref="I21:J21" si="44">SUM(C21,F21)</f>
        <v>45.83</v>
      </c>
      <c r="J21" s="5">
        <f t="shared" si="44"/>
        <v>47</v>
      </c>
      <c r="K21" s="4">
        <f t="shared" si="2"/>
        <v>92.83</v>
      </c>
      <c r="L21" s="6">
        <f t="shared" si="3"/>
        <v>92.83</v>
      </c>
      <c r="M21" s="7" t="str">
        <f t="shared" si="4"/>
        <v>O (Outstanding)</v>
      </c>
    </row>
    <row r="22" spans="1:13" x14ac:dyDescent="0.25">
      <c r="A22" s="3">
        <v>2323</v>
      </c>
      <c r="C22" s="4">
        <v>25</v>
      </c>
      <c r="D22" s="5">
        <v>25.8</v>
      </c>
      <c r="E22" s="3">
        <f t="shared" si="5"/>
        <v>50.8</v>
      </c>
      <c r="F22" s="4">
        <f t="shared" ref="F22:G22" si="45">ROUND( (C22 / 30) * 20, 2 )</f>
        <v>16.670000000000002</v>
      </c>
      <c r="G22" s="4">
        <f t="shared" si="45"/>
        <v>17.2</v>
      </c>
      <c r="H22" s="4">
        <f t="shared" si="7"/>
        <v>33.870000000000005</v>
      </c>
      <c r="I22" s="4">
        <f t="shared" ref="I22:J22" si="46">SUM(C22,F22)</f>
        <v>41.67</v>
      </c>
      <c r="J22" s="5">
        <f t="shared" si="46"/>
        <v>43</v>
      </c>
      <c r="K22" s="4">
        <f t="shared" si="2"/>
        <v>84.67</v>
      </c>
      <c r="L22" s="6">
        <f t="shared" si="3"/>
        <v>84.67</v>
      </c>
      <c r="M22" s="7" t="str">
        <f t="shared" si="4"/>
        <v>A+ (Excellent)</v>
      </c>
    </row>
    <row r="23" spans="1:13" x14ac:dyDescent="0.25">
      <c r="A23" s="3">
        <v>2324</v>
      </c>
      <c r="C23" s="4">
        <v>26</v>
      </c>
      <c r="D23" s="5">
        <v>28.2</v>
      </c>
      <c r="E23" s="3">
        <f t="shared" si="5"/>
        <v>54.2</v>
      </c>
      <c r="F23" s="4">
        <f t="shared" ref="F23:G23" si="47">ROUND( (C23 / 30) * 20, 2 )</f>
        <v>17.329999999999998</v>
      </c>
      <c r="G23" s="4">
        <f t="shared" si="47"/>
        <v>18.8</v>
      </c>
      <c r="H23" s="4">
        <f t="shared" si="7"/>
        <v>36.129999999999995</v>
      </c>
      <c r="I23" s="4">
        <f t="shared" ref="I23:J23" si="48">SUM(C23,F23)</f>
        <v>43.33</v>
      </c>
      <c r="J23" s="5">
        <f t="shared" si="48"/>
        <v>47</v>
      </c>
      <c r="K23" s="4">
        <f t="shared" si="2"/>
        <v>90.33</v>
      </c>
      <c r="L23" s="6">
        <f t="shared" si="3"/>
        <v>90.33</v>
      </c>
      <c r="M23" s="7" t="str">
        <f t="shared" si="4"/>
        <v>O (Outstanding)</v>
      </c>
    </row>
    <row r="24" spans="1:13" x14ac:dyDescent="0.25">
      <c r="A24" s="3">
        <v>2325</v>
      </c>
      <c r="C24" s="4">
        <v>22.5</v>
      </c>
      <c r="D24" s="5">
        <v>25.2</v>
      </c>
      <c r="E24" s="3">
        <f t="shared" si="5"/>
        <v>47.7</v>
      </c>
      <c r="F24" s="4">
        <f t="shared" ref="F24:G24" si="49">ROUND( (C24 / 30) * 20, 2 )</f>
        <v>15</v>
      </c>
      <c r="G24" s="4">
        <f t="shared" si="49"/>
        <v>16.8</v>
      </c>
      <c r="H24" s="4">
        <f t="shared" si="7"/>
        <v>31.8</v>
      </c>
      <c r="I24" s="4">
        <f t="shared" ref="I24:J24" si="50">SUM(C24,F24)</f>
        <v>37.5</v>
      </c>
      <c r="J24" s="5">
        <f t="shared" si="50"/>
        <v>42</v>
      </c>
      <c r="K24" s="4">
        <f t="shared" si="2"/>
        <v>79.5</v>
      </c>
      <c r="L24" s="6">
        <f t="shared" si="3"/>
        <v>79.5</v>
      </c>
      <c r="M24" s="7" t="str">
        <f t="shared" si="4"/>
        <v>A+ (Excellent)</v>
      </c>
    </row>
    <row r="25" spans="1:13" ht="13.2" x14ac:dyDescent="0.25">
      <c r="A25" s="3">
        <v>2326</v>
      </c>
      <c r="C25" s="4">
        <v>28.5</v>
      </c>
      <c r="D25" s="5">
        <v>25.2</v>
      </c>
      <c r="E25" s="3">
        <f t="shared" si="5"/>
        <v>53.7</v>
      </c>
      <c r="F25" s="4">
        <f t="shared" ref="F25:G25" si="51">ROUND( (C25 / 30) * 20, 2 )</f>
        <v>19</v>
      </c>
      <c r="G25" s="4">
        <f t="shared" si="51"/>
        <v>16.8</v>
      </c>
      <c r="H25" s="4">
        <f t="shared" si="7"/>
        <v>35.799999999999997</v>
      </c>
      <c r="I25" s="4">
        <f t="shared" ref="I25:J25" si="52">SUM(C25,F25)</f>
        <v>47.5</v>
      </c>
      <c r="J25" s="5">
        <f t="shared" si="52"/>
        <v>42</v>
      </c>
      <c r="K25" s="4">
        <f t="shared" si="2"/>
        <v>89.5</v>
      </c>
      <c r="L25" s="6">
        <f t="shared" si="3"/>
        <v>89.5</v>
      </c>
      <c r="M25" s="7" t="str">
        <f t="shared" si="4"/>
        <v>O (Outstanding)</v>
      </c>
    </row>
    <row r="26" spans="1:13" ht="13.2" x14ac:dyDescent="0.25">
      <c r="A26" s="3">
        <v>2327</v>
      </c>
      <c r="C26" s="4">
        <v>22</v>
      </c>
      <c r="D26" s="5">
        <v>25.8</v>
      </c>
      <c r="E26" s="3">
        <f t="shared" si="5"/>
        <v>47.8</v>
      </c>
      <c r="F26" s="4">
        <f t="shared" ref="F26:G26" si="53">ROUND( (C26 / 30) * 20, 2 )</f>
        <v>14.67</v>
      </c>
      <c r="G26" s="4">
        <f t="shared" si="53"/>
        <v>17.2</v>
      </c>
      <c r="H26" s="4">
        <f t="shared" si="7"/>
        <v>31.869999999999997</v>
      </c>
      <c r="I26" s="4">
        <f t="shared" ref="I26:J26" si="54">SUM(C26,F26)</f>
        <v>36.67</v>
      </c>
      <c r="J26" s="5">
        <f t="shared" si="54"/>
        <v>43</v>
      </c>
      <c r="K26" s="4">
        <f t="shared" si="2"/>
        <v>79.67</v>
      </c>
      <c r="L26" s="6">
        <f t="shared" si="3"/>
        <v>79.67</v>
      </c>
      <c r="M26" s="7" t="str">
        <f t="shared" si="4"/>
        <v>A+ (Excellent)</v>
      </c>
    </row>
    <row r="27" spans="1:13" ht="13.2" x14ac:dyDescent="0.25">
      <c r="A27" s="3">
        <v>2328</v>
      </c>
      <c r="C27" s="4">
        <v>26</v>
      </c>
      <c r="D27" s="5">
        <v>28.2</v>
      </c>
      <c r="E27" s="3">
        <f t="shared" si="5"/>
        <v>54.2</v>
      </c>
      <c r="F27" s="4">
        <f t="shared" ref="F27:G27" si="55">ROUND( (C27 / 30) * 20, 2 )</f>
        <v>17.329999999999998</v>
      </c>
      <c r="G27" s="4">
        <f t="shared" si="55"/>
        <v>18.8</v>
      </c>
      <c r="H27" s="4">
        <f t="shared" si="7"/>
        <v>36.129999999999995</v>
      </c>
      <c r="I27" s="4">
        <f t="shared" ref="I27:J27" si="56">SUM(C27,F27)</f>
        <v>43.33</v>
      </c>
      <c r="J27" s="5">
        <f t="shared" si="56"/>
        <v>47</v>
      </c>
      <c r="K27" s="4">
        <f t="shared" si="2"/>
        <v>90.33</v>
      </c>
      <c r="L27" s="6">
        <f t="shared" si="3"/>
        <v>90.33</v>
      </c>
      <c r="M27" s="7" t="str">
        <f t="shared" si="4"/>
        <v>O (Outstanding)</v>
      </c>
    </row>
    <row r="28" spans="1:13" ht="13.2" x14ac:dyDescent="0.25">
      <c r="A28" s="3">
        <v>2329</v>
      </c>
      <c r="C28" s="4">
        <v>24.5</v>
      </c>
      <c r="D28" s="5">
        <v>27</v>
      </c>
      <c r="E28" s="3">
        <f t="shared" si="5"/>
        <v>51.5</v>
      </c>
      <c r="F28" s="4">
        <f t="shared" ref="F28:G28" si="57">ROUND( (C28 / 30) * 20, 2 )</f>
        <v>16.329999999999998</v>
      </c>
      <c r="G28" s="4">
        <f t="shared" si="57"/>
        <v>18</v>
      </c>
      <c r="H28" s="4">
        <f t="shared" si="7"/>
        <v>34.33</v>
      </c>
      <c r="I28" s="4">
        <f t="shared" ref="I28:J28" si="58">SUM(C28,F28)</f>
        <v>40.83</v>
      </c>
      <c r="J28" s="5">
        <f t="shared" si="58"/>
        <v>45</v>
      </c>
      <c r="K28" s="4">
        <f t="shared" si="2"/>
        <v>85.83</v>
      </c>
      <c r="L28" s="6">
        <f t="shared" si="3"/>
        <v>85.83</v>
      </c>
      <c r="M28" s="7" t="str">
        <f t="shared" si="4"/>
        <v>O (Outstanding)</v>
      </c>
    </row>
    <row r="29" spans="1:13" ht="13.2" x14ac:dyDescent="0.25">
      <c r="A29" s="3">
        <v>2330</v>
      </c>
      <c r="C29" s="4">
        <v>26</v>
      </c>
      <c r="D29" s="5">
        <v>28.8</v>
      </c>
      <c r="E29" s="3">
        <f t="shared" si="5"/>
        <v>54.8</v>
      </c>
      <c r="F29" s="4">
        <f t="shared" ref="F29:G29" si="59">ROUND( (C29 / 30) * 20, 2 )</f>
        <v>17.329999999999998</v>
      </c>
      <c r="G29" s="4">
        <f t="shared" si="59"/>
        <v>19.2</v>
      </c>
      <c r="H29" s="4">
        <f t="shared" si="7"/>
        <v>36.53</v>
      </c>
      <c r="I29" s="4">
        <f t="shared" ref="I29:J29" si="60">SUM(C29,F29)</f>
        <v>43.33</v>
      </c>
      <c r="J29" s="5">
        <f t="shared" si="60"/>
        <v>48</v>
      </c>
      <c r="K29" s="4">
        <f t="shared" si="2"/>
        <v>91.33</v>
      </c>
      <c r="L29" s="6">
        <f t="shared" si="3"/>
        <v>91.33</v>
      </c>
      <c r="M29" s="7" t="str">
        <f t="shared" si="4"/>
        <v>O (Outstanding)</v>
      </c>
    </row>
    <row r="30" spans="1:13" ht="13.2" x14ac:dyDescent="0.25">
      <c r="A30" s="3">
        <v>2332</v>
      </c>
      <c r="C30" s="4">
        <v>19</v>
      </c>
      <c r="D30" s="5">
        <v>24.6</v>
      </c>
      <c r="E30" s="3">
        <f t="shared" si="5"/>
        <v>43.6</v>
      </c>
      <c r="F30" s="4">
        <f t="shared" ref="F30:G30" si="61">ROUND( (C30 / 30) * 20, 2 )</f>
        <v>12.67</v>
      </c>
      <c r="G30" s="4">
        <f t="shared" si="61"/>
        <v>16.399999999999999</v>
      </c>
      <c r="H30" s="4">
        <f t="shared" si="7"/>
        <v>29.07</v>
      </c>
      <c r="I30" s="4">
        <f t="shared" ref="I30:J30" si="62">SUM(C30,F30)</f>
        <v>31.67</v>
      </c>
      <c r="J30" s="5">
        <f t="shared" si="62"/>
        <v>41</v>
      </c>
      <c r="K30" s="4">
        <f t="shared" si="2"/>
        <v>72.67</v>
      </c>
      <c r="L30" s="6">
        <f t="shared" si="3"/>
        <v>72.67</v>
      </c>
      <c r="M30" s="7" t="str">
        <f t="shared" si="4"/>
        <v>A (Very Good)</v>
      </c>
    </row>
    <row r="31" spans="1:13" ht="13.2" x14ac:dyDescent="0.25">
      <c r="A31" s="3">
        <v>2333</v>
      </c>
      <c r="C31" s="4">
        <v>24.5</v>
      </c>
      <c r="D31" s="5">
        <v>27</v>
      </c>
      <c r="E31" s="3">
        <f t="shared" si="5"/>
        <v>51.5</v>
      </c>
      <c r="F31" s="4">
        <f t="shared" ref="F31:G31" si="63">ROUND( (C31 / 30) * 20, 2 )</f>
        <v>16.329999999999998</v>
      </c>
      <c r="G31" s="4">
        <f t="shared" si="63"/>
        <v>18</v>
      </c>
      <c r="H31" s="4">
        <f t="shared" si="7"/>
        <v>34.33</v>
      </c>
      <c r="I31" s="4">
        <f t="shared" ref="I31:J31" si="64">SUM(C31,F31)</f>
        <v>40.83</v>
      </c>
      <c r="J31" s="5">
        <f t="shared" si="64"/>
        <v>45</v>
      </c>
      <c r="K31" s="4">
        <f t="shared" si="2"/>
        <v>85.83</v>
      </c>
      <c r="L31" s="6">
        <f t="shared" si="3"/>
        <v>85.83</v>
      </c>
      <c r="M31" s="7" t="str">
        <f t="shared" si="4"/>
        <v>O (Outstanding)</v>
      </c>
    </row>
    <row r="32" spans="1:13" ht="13.2" x14ac:dyDescent="0.25">
      <c r="L32" s="7"/>
      <c r="M32" s="7"/>
    </row>
  </sheetData>
  <conditionalFormatting sqref="K1:K31">
    <cfRule type="expression" dxfId="2" priority="1">
      <formula>$M1="O (Outstanding)"</formula>
    </cfRule>
  </conditionalFormatting>
  <conditionalFormatting sqref="K2:K31">
    <cfRule type="expression" dxfId="1" priority="2">
      <formula>$M2="A+ (Excellent)"</formula>
    </cfRule>
    <cfRule type="expression" dxfId="0" priority="3">
      <formula>$M2="A (Very Good)"</formula>
    </cfRule>
  </conditionalFormatting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Coutinho</dc:creator>
  <cp:lastModifiedBy>samantha Coutinho</cp:lastModifiedBy>
  <dcterms:created xsi:type="dcterms:W3CDTF">2025-11-18T06:43:27Z</dcterms:created>
  <dcterms:modified xsi:type="dcterms:W3CDTF">2025-11-18T06:43:27Z</dcterms:modified>
</cp:coreProperties>
</file>